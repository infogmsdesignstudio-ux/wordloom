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ggimi" sheetId="1" r:id="rId1"/>
    <sheet name="Modello" sheetId="2" r:id="rId2"/>
    <sheet name="Griglia" sheetId="3" r:id="rId3"/>
    <sheet name="Pedine" sheetId="4" r:id="rId4"/>
    <sheet name="Controlli" sheetId="5" r:id="rId5"/>
    <sheet name="Alternative" sheetId="6" r:id="rId6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.00"/>
  </numFmts>
  <fonts count="10">
    <font>
      <sz val="10"/>
      <color theme="1"/>
      <name val="Arial"/>
    </font>
    <font>
      <b/>
      <sz val="15"/>
      <color rgb="FF1F3448"/>
      <name val="Arial"/>
    </font>
    <font>
      <b/>
      <sz val="12"/>
      <color rgb="FF1F3448"/>
      <name val="Arial"/>
    </font>
    <font>
      <b/>
      <sz val="9"/>
      <color rgb="FFFFFFFF"/>
      <name val="Arial"/>
    </font>
    <font>
      <b/>
      <sz val="10"/>
      <color theme="1"/>
      <name val="Arial"/>
    </font>
    <font>
      <i/>
      <sz val="9"/>
      <color rgb="FF606060"/>
      <name val="Arial"/>
    </font>
    <font>
      <i/>
      <sz val="9"/>
      <color rgb="FF4A3B10"/>
      <name val="Arial"/>
    </font>
    <font>
      <b/>
      <sz val="10"/>
      <color rgb="FF1E5B3C"/>
      <name val="Arial"/>
    </font>
    <font>
      <b/>
      <sz val="10"/>
      <color rgb="FF8E2226"/>
      <name val="Arial"/>
    </font>
    <font>
      <sz val="10"/>
      <color rgb="FF909090"/>
      <name val="Arial"/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solid">
        <fgColor rgb="FF1F3448"/>
        <bgColor indexed="64"/>
      </patternFill>
    </fill>
    <fill>
      <patternFill patternType="solid">
        <fgColor rgb="FFFFF6D6"/>
        <bgColor indexed="64"/>
      </patternFill>
    </fill>
    <fill>
      <patternFill patternType="solid">
        <fgColor rgb="FFEAF1F6"/>
        <bgColor indexed="64"/>
      </patternFill>
    </fill>
    <fill>
      <patternFill patternType="solid">
        <fgColor rgb="FFF5EFE6"/>
        <bgColor indexed="64"/>
      </patternFill>
    </fill>
    <fill>
      <patternFill patternType="solid">
        <fgColor rgb="FFF7E9E6"/>
        <bgColor indexed="64"/>
      </patternFill>
    </fill>
    <fill>
      <patternFill patternType="solid">
        <fgColor rgb="FFE2EDE7"/>
        <bgColor indexed="64"/>
      </patternFill>
    </fill>
    <fill>
      <patternFill patternType="solid">
        <fgColor rgb="FFF5E4E3"/>
        <bgColor indexed="64"/>
      </patternFill>
    </fill>
    <fill>
      <patternFill patternType="solid">
        <fgColor rgb="FFEDF0F2"/>
        <bgColor indexed="64"/>
      </patternFill>
    </fill>
  </fills>
  <borders count="2">
    <border>
      <left/>
      <right/>
      <top/>
      <bottom/>
      <diagonal/>
    </border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  <diagonal/>
    </border>
  </borders>
  <cellStyleXfs count="1">
    <xf numFmtId="0" fontId="0" fillId="0" borderId="0"/>
  </cellStyleXfs>
  <cellXfs count="39">
    <xf numFmtId="0" fontId="0" fillId="2" borderId="1" xfId="0" applyFont="1" applyFill="1" applyBorder="1" applyAlignment="1">
      <alignment vertical="top"/>
    </xf>
    <xf numFmtId="0" fontId="1" fillId="2" borderId="0" xfId="0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top"/>
    </xf>
    <xf numFmtId="0" fontId="0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0" fillId="2" borderId="0" xfId="0" applyFont="1" applyFill="1" applyBorder="1" applyAlignment="1">
      <alignment vertical="top"/>
    </xf>
    <xf numFmtId="0" fontId="0" fillId="2" borderId="0" xfId="0" applyFont="1" applyFill="1" applyBorder="1" applyAlignment="1">
      <alignment vertical="top" wrapText="1"/>
    </xf>
    <xf numFmtId="0" fontId="4" fillId="2" borderId="0" xfId="0" applyFont="1" applyFill="1" applyBorder="1" applyAlignment="1">
      <alignment vertical="top"/>
    </xf>
    <xf numFmtId="0" fontId="5" fillId="2" borderId="0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0" fillId="5" borderId="1" xfId="0" applyFont="1" applyFill="1" applyBorder="1" applyAlignment="1">
      <alignment vertical="top"/>
    </xf>
    <xf numFmtId="0" fontId="0" fillId="6" borderId="1" xfId="0" applyFont="1" applyFill="1" applyBorder="1" applyAlignment="1">
      <alignment vertical="top"/>
    </xf>
    <xf numFmtId="0" fontId="0" fillId="7" borderId="1" xfId="0" applyFont="1" applyFill="1" applyBorder="1" applyAlignment="1">
      <alignment vertical="top"/>
    </xf>
    <xf numFmtId="0" fontId="0" fillId="5" borderId="1" xfId="0" applyFont="1" applyFill="1" applyBorder="1" applyAlignment="1">
      <alignment horizontal="center" vertical="top"/>
    </xf>
    <xf numFmtId="0" fontId="0" fillId="6" borderId="1" xfId="0" applyFont="1" applyFill="1" applyBorder="1" applyAlignment="1">
      <alignment horizontal="center" vertical="top"/>
    </xf>
    <xf numFmtId="0" fontId="0" fillId="7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/>
    </xf>
    <xf numFmtId="0" fontId="4" fillId="7" borderId="1" xfId="0" applyFont="1" applyFill="1" applyBorder="1" applyAlignment="1">
      <alignment vertical="top"/>
    </xf>
    <xf numFmtId="0" fontId="0" fillId="5" borderId="1" xfId="0" applyFont="1" applyFill="1" applyBorder="1" applyAlignment="1">
      <alignment vertical="top" wrapText="1"/>
    </xf>
    <xf numFmtId="0" fontId="0" fillId="6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164" fontId="0" fillId="5" borderId="1" xfId="0" applyFont="1" applyFill="1" applyBorder="1" applyNumberFormat="1" applyAlignment="1">
      <alignment horizontal="center" vertical="top"/>
    </xf>
    <xf numFmtId="164" fontId="0" fillId="6" borderId="1" xfId="0" applyFont="1" applyFill="1" applyBorder="1" applyNumberFormat="1" applyAlignment="1">
      <alignment horizontal="center" vertical="top"/>
    </xf>
    <xf numFmtId="164" fontId="0" fillId="7" borderId="1" xfId="0" applyFont="1" applyFill="1" applyBorder="1" applyNumberFormat="1" applyAlignment="1">
      <alignment horizontal="center" vertical="top"/>
    </xf>
    <xf numFmtId="0" fontId="7" fillId="8" borderId="1" xfId="0" applyFont="1" applyFill="1" applyBorder="1" applyAlignment="1">
      <alignment horizontal="center" vertical="top"/>
    </xf>
    <xf numFmtId="0" fontId="8" fillId="9" borderId="1" xfId="0" applyFont="1" applyFill="1" applyBorder="1" applyAlignment="1">
      <alignment horizontal="center" vertical="top"/>
    </xf>
    <xf numFmtId="0" fontId="0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/>
    </xf>
    <xf numFmtId="0" fontId="0" fillId="10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/>
    </xf>
    <xf numFmtId="0" fontId="0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164" fontId="0" fillId="2" borderId="1" xfId="0" applyFont="1" applyFill="1" applyBorder="1" applyNumberFormat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3" customWidth="1"/>
    <col min="2" max="2" width="118" customWidth="1"/>
  </cols>
  <sheetData>
    <row r="1" ht="26" customHeight="1">
      <c r="B1" s="1" t="inlineStr">
        <is>
          <t xml:space="preserve">WORLDLOOM — Modello di bilanciamento «Scala dei Ruoli»</t>
        </is>
      </c>
    </row>
    <row r="2">
      <c r="B2" s="8" t="inlineStr">
        <is>
          <t xml:space="preserve"/>
        </is>
      </c>
    </row>
    <row r="3" ht="15" customHeight="1">
      <c r="B3" s="8" t="inlineStr">
        <is>
          <t xml:space="preserve">Le statistiche nuove di tutte e 63 le Pedine, il perché di ogni cambio, e i controlli automatici per verificare qualunque modifica tu faccia in futuro.</t>
        </is>
      </c>
    </row>
    <row r="4" ht="30" customHeight="1">
      <c r="B4" s="11" t="inlineStr">
        <is>
          <t xml:space="preserve">STATO: proposta. Nessun file di gioco è stato modificato. Le modifiche vanno fatte negli Excel dei mazzi e poi rigenerate con genera_cards_json.py — mai i cards.json a mano.</t>
        </is>
      </c>
    </row>
    <row r="5">
      <c r="B5" s="8" t="inlineStr">
        <is>
          <t xml:space="preserve"/>
        </is>
      </c>
    </row>
    <row r="6">
      <c r="B6" s="9" t="inlineStr">
        <is>
          <t xml:space="preserve">IL PROBLEMA IN UNA RIGA</t>
        </is>
      </c>
    </row>
    <row r="7" ht="30" customHeight="1">
      <c r="B7" s="8" t="inlineStr">
        <is>
          <t xml:space="preserve">Al Livello 3 la partita si inchioda: il 71% dei colpi fa zero danni e servono 4 turni per uccidere, contro 1,9 del Livello 1. Ma la causa non è che la Parata sia alta — è che i ruoli hanno smesso di essere diversi fra loro.</t>
        </is>
      </c>
    </row>
    <row r="8">
      <c r="B8" s="8" t="inlineStr">
        <is>
          <t xml:space="preserve"/>
        </is>
      </c>
    </row>
    <row r="9">
      <c r="B9" s="9" t="inlineStr">
        <is>
          <t xml:space="preserve">LE QUATTRO ROTTURE, MISURATE</t>
        </is>
      </c>
    </row>
    <row r="10" ht="44" customHeight="1">
      <c r="B10" s="8" t="inlineStr">
        <is>
          <t xml:space="preserve">1 · I RUOLI COLLASSANO.  Al Livello 1 l'aggressore mette il 79% del budget in Attacco e il tank il 51% in Vita. Al Livello 3 ogni ruolo mette fra il 56% e il 65% in Attacco: tank e aggressore sono la stessa carta con due nomi. Due ruoli su sei (evasivo e supporto) non esistono proprio.</t>
        </is>
      </c>
    </row>
    <row r="11" ht="44" customHeight="1">
      <c r="B11" s="8" t="inlineStr">
        <is>
          <t xml:space="preserve">2 · I BUDGET NON SONO UGUALI.  Al Livello 1 l'aggressore ha 15,3 punti di budget e il tank 8,8: il 74% in meno. Ecco perché l'aggressore vince il 94% dei duelli e il tank il 19%. Non è solo COME spendono, è QUANTO hanno da spendere.</t>
        </is>
      </c>
    </row>
    <row r="12" ht="44" customHeight="1">
      <c r="B12" s="8" t="inlineStr">
        <is>
          <t xml:space="preserve">3 · IL MARGINE DI PENETRAZIONE VA SOTTO ZERO.  Attacco del miglior aggressore meno Parata del miglior muro: +2 al Livello 2 (0,6% di stalli), +0 al Livello 1 (12,5%), −4 al Livello 3 (23,1%). Nessuna delle 49 Pedine di Livello 1 e 2 può superare la Parata di nessuna Pedina di Livello 3: 0 casi su 686.</t>
        </is>
      </c>
    </row>
    <row r="13" ht="44" customHeight="1">
      <c r="B13" s="8" t="inlineStr">
        <is>
          <t xml:space="preserve">4 · IL DADO STA SUL RUOLO SBAGLIATO.  Al Livello 3 tutti e tre gli aggressori hanno il dado Colosso, il più DIFENSIVO del gioco (1 Spada, 3 Scudi, 3 Schivate), mentre i bilanciati hanno il Tessitore, il più offensivo. Al Livello 1 l'accoppiamento è invece corretto.</t>
        </is>
      </c>
    </row>
    <row r="14">
      <c r="B14" s="8" t="inlineStr">
        <is>
          <t xml:space="preserve"/>
        </is>
      </c>
    </row>
    <row r="15">
      <c r="B15" s="9" t="inlineStr">
        <is>
          <t xml:space="preserve">COME LEGGERE QUESTO FILE</t>
        </is>
      </c>
    </row>
    <row r="16">
      <c r="B16" s="8" t="inlineStr">
        <is>
          <t xml:space="preserve">Modello      —  i sei criteri con cui ho ricalcolato tutto, e la formula del budget.</t>
        </is>
      </c>
    </row>
    <row r="17">
      <c r="B17" s="8" t="inlineStr">
        <is>
          <t xml:space="preserve">Griglia      —  il profilo base di ogni ruolo a ogni livello. È la tabella madre.</t>
        </is>
      </c>
    </row>
    <row r="18">
      <c r="B18" s="8" t="inlineStr">
        <is>
          <t xml:space="preserve">Pedine       —  tutte e 63 le carte: oggi, nuove, differenza e motivo. È il foglio da copiare negli Excel dei mazzi.</t>
        </is>
      </c>
    </row>
    <row r="19">
      <c r="B19" s="8" t="inlineStr">
        <is>
          <t xml:space="preserve">Controlli    —  verifiche automatiche: cambia un numero nel foglio Pedine e qui vedi subito se hai rotto un criterio.</t>
        </is>
      </c>
    </row>
    <row r="20">
      <c r="B20" s="8" t="inlineStr">
        <is>
          <t xml:space="preserve">Alternative  —  le otto strade valutate, con i numeri che le hanno bocciate o adottate.</t>
        </is>
      </c>
    </row>
    <row r="21">
      <c r="B21" s="8" t="inlineStr">
        <is>
          <t xml:space="preserve"/>
        </is>
      </c>
    </row>
    <row r="22">
      <c r="B22" s="9" t="inlineStr">
        <is>
          <t xml:space="preserve">IL RISULTATO ATTESO  (simulazione, 20.000 duelli per casella)</t>
        </is>
      </c>
    </row>
    <row r="23">
      <c r="B23" s="8" t="inlineStr">
        <is>
          <t xml:space="preserve">Turni per uccidere:   L1  1,89 → 2,40        L2  1,80 → 2,33        L3  4,00 → 2,41</t>
        </is>
      </c>
    </row>
    <row r="24">
      <c r="B24" s="8" t="inlineStr">
        <is>
          <t xml:space="preserve">Colpi a vuoto:        L1  51% → 29%          L2  42% → 29%          L3  71% → 29%</t>
        </is>
      </c>
    </row>
    <row r="25">
      <c r="B25" s="8" t="inlineStr">
        <is>
          <t xml:space="preserve">Economia dei tributi  (3 Pedine di Livello 1 contro 1 di Livello 3):   0,9% → 51%</t>
        </is>
      </c>
    </row>
    <row r="26">
      <c r="B26" s="8" t="inlineStr">
        <is>
          <t xml:space="preserve">Ruota degli Archetipi (matchup neutri) al Livello 3:   100% → 74%</t>
        </is>
      </c>
    </row>
    <row r="27">
      <c r="B27" s="8" t="inlineStr">
        <is>
          <t xml:space="preserve">Il muro di Livello 3 resta un muro: Parata 26, Vita 82, resiste ×4,0 di un aggressore, cade in 5,8 turni.</t>
        </is>
      </c>
    </row>
    <row r="28">
      <c r="B28" s="8" t="inlineStr">
        <is>
          <t xml:space="preserve"/>
        </is>
      </c>
    </row>
    <row r="29">
      <c r="B29" s="9" t="inlineStr">
        <is>
          <t xml:space="preserve">COSA NON È VERIFICATO — leggilo prima di applicare</t>
        </is>
      </c>
    </row>
    <row r="30" ht="44" customHeight="1">
      <c r="B30" s="11" t="inlineStr">
        <is>
          <t xml:space="preserve">I profili di ruolo (foglio Griglia) sono stati simulati e passano tutti e cinque i controlli. Le variazioni carta per carta (±1 o 2 punti) sono invece interpolate a mano per dare personalità: non sono state ri-simulate una per una.</t>
        </is>
      </c>
    </row>
    <row r="31" ht="44" customHeight="1">
      <c r="B31" s="11" t="inlineStr">
        <is>
          <t xml:space="preserve">Tutto è misurato SENZA effetti carta, Magie, Trappole e senza il diritto di ripetizione della Ruota. È la base su cui poggiano gli effetti, non la partita completa.</t>
        </is>
      </c>
    </row>
    <row r="32" ht="44" customHeight="1">
      <c r="B32" s="11" t="inlineStr">
        <is>
          <t xml:space="preserve">Al Livello 3 manca ancora il ruolo EVASIVO: nessuna carta esistente ha un effetto compatibile. Va creata.</t>
        </is>
      </c>
    </row>
    <row r="33" ht="44" customHeight="1">
      <c r="B33" s="11" t="inlineStr">
        <is>
          <t xml:space="preserve">Al Livello 1 il criterio C5 (attacchi distanziati) non è soddisfabile: 36 carte in una banda di Attacco da 3 a 12 si ammassano per forza. Vedi la nota sul pareggio mortale nel foglio Modello.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3" customWidth="1"/>
    <col min="2" max="2" width="26" customWidth="1"/>
    <col min="3" max="3" width="110" customWidth="1"/>
  </cols>
  <sheetData>
    <row r="1" ht="26" customHeight="1">
      <c r="B1" s="1" t="inlineStr">
        <is>
          <t xml:space="preserve">I SEI CRITERI DEL MODELLO</t>
        </is>
      </c>
    </row>
    <row r="3" ht="22" customHeight="1">
      <c r="B3" s="3" t="inlineStr">
        <is>
          <t xml:space="preserve">CRITERIO</t>
        </is>
      </c>
      <c r="C3" s="3" t="inlineStr">
        <is>
          <t xml:space="preserve">REGOLA E MOTIVO</t>
        </is>
      </c>
    </row>
    <row r="4" ht="132" customHeight="1">
      <c r="B4" s="6" t="inlineStr">
        <is>
          <t xml:space="preserve">C1 · Budget uguale</t>
        </is>
      </c>
      <c r="C4" s="5" t="inlineStr">
        <is>
          <t xml:space="preserve">Ogni Pedina dello stesso livello ha lo stesso budget di punti, e il budget cresce come il prezzo in tributi.
     Punti  =  Attacco + Parata/4 + Vita/4 + 3 × (attacchi − 2)
     Livello 1 = 12 punti (1 tributo)   ·   Livello 2 = 24 (2 tributi)   ·   Livello 3 = 36 (3 tributi)
PERCHÉ — oggi il budget del Livello 3 cresce ×3,7 mentre il prezzo cresce ×3: il livello alto è sottopagato in prezzo e strapagato in potenza, e infatti batte tre Pedine di Livello 1 nel 99,1% dei casi. I pesi /4 non sono inventati: vengono dal misurare quanto sale il tasso di vittoria per ogni punto di statistica in più.</t>
        </is>
      </c>
    </row>
    <row r="5" ht="122" customHeight="1">
      <c r="B5" s="6" t="inlineStr">
        <is>
          <t xml:space="preserve">C2 · Margine di penetrazione</t>
        </is>
      </c>
      <c r="C5" s="5" t="inlineStr">
        <is>
          <t xml:space="preserve">La Parata massima di un livello non può superare l'Attacco dell'aggressore di quel livello meno 4.
     Tetti di Parata:   Livello 1 = 8   ·   Livello 2 = 20   ·   Livello 3 = 26
PERCHÉ — se il miglior aggressore non buca il miglior muro, non esiste risposta a quel muro e la partita si ferma. È la correlazione più netta trovata: margine +2 → 0,6% di stalli · +0 → 12,5% · −4 → 23,1%.
ATTENZIONE: sono tre punti soltanto. È una regola di progetto sensata, non un teorema.</t>
        </is>
      </c>
    </row>
    <row r="6" ht="100" customHeight="1">
      <c r="B6" s="6" t="inlineStr">
        <is>
          <t xml:space="preserve">C3 · Gli attacchi definiscono il ruolo</t>
        </is>
      </c>
      <c r="C6" s="5" t="inlineStr">
        <is>
          <t xml:space="preserve">1 attacco = muro (tank)   ·   2 attacchi = standard   ·   3 attacchi = evasivo
PERCHÉ — misurato su ogni variante provata, a parità di budget lo stesso profilo difensivo con UN attacco vince il 15-46% dei duelli, con DUE attacchi il 59-82%. Non è la Parata a fare il muro, né la Vita: è il fatto che colpisce una volta sola. È l'interruttore fra muro e boss, ed è la scoperta più utile di tutta l'analisi.</t>
        </is>
      </c>
    </row>
    <row r="7" ht="132" customHeight="1">
      <c r="B7" s="6" t="inlineStr">
        <is>
          <t xml:space="preserve">C4 · Il dado segue il ruolo</t>
        </is>
      </c>
      <c r="C7" s="5" t="inlineStr">
        <is>
          <t xml:space="preserve">     Colosso     S1 U3 C1 D3    →   tank, difensore
     Assalitore  S4 U1 C2 D1    →   aggressore
     Effimeri    S2 U1 C2 D3    →   evasivo
     Viandante   S2 U2 C2 D2    →   supporto, bilanciato
     Tessitore   S3 U1 C2 D2    →   aggressore alternativo, bilanciato
PERCHÉ — il difensore tira il PROPRIO dado, quindi l'archetipo decide quanto è duro ucciderlo: vale da solo 18 punti percentuali di sopravvivenza (contro un Colosso una sonda vince il 50,9%, contro tutti gli altri archetipi il 68-71%). Oggi al Livello 3 è invertito.</t>
        </is>
      </c>
    </row>
    <row r="8" ht="122" customHeight="1">
      <c r="B8" s="6" t="inlineStr">
        <is>
          <t xml:space="preserve">C5 · Attacchi distanziati</t>
        </is>
      </c>
      <c r="C8" s="5" t="inlineStr">
        <is>
          <t xml:space="preserve">Nessun valore di Attacco ripetuto più di due volte per livello.
PERCHÉ — quando due Pedine hanno lo STESSO Attacco, la faccia Spada scatta il «pareggio mortale» e muoiono entrambe. Il Re Antico contro Potere Divino (entrambi Attacco 24) finisce con la morte di tutti e due nel 78% dei duelli. Al Livello 3 ci sono quattro carte con Attacco 24.
LIMITE: al Livello 1, con 36 carte in una banda da 3 a 12, il criterio non è soddisfabile con numeri interi.</t>
        </is>
      </c>
    </row>
    <row r="9" ht="92" customHeight="1">
      <c r="B9" s="6" t="inlineStr">
        <is>
          <t xml:space="preserve">C6 · Tutti gli archetipi ovunque</t>
        </is>
      </c>
      <c r="C9" s="5" t="inlineStr">
        <is>
          <t xml:space="preserve">Ogni livello contiene tutti e cinque gli archetipi, nessuno oltre il 45%.
PERCHÉ — con 10 Colossi su 14, e i quattro Tessitori tutti di ruolo «bilanciato» (che per regola forza il matchup a neutro), al Livello 3 la Ruota degli Archetipi non si attiva MAI: 100% di matchup neutri. È una regola intera del gioco spenta.</t>
        </is>
      </c>
    </row>
    <row r="11">
      <c r="B11" s="9" t="inlineStr">
        <is>
          <t xml:space="preserve">UNA DECISIONE DI REGOLA CHE RESTA A TE</t>
        </is>
      </c>
    </row>
    <row r="12" ht="80" customHeight="1">
      <c r="B12" s="6" t="inlineStr">
        <is>
          <t xml:space="preserve">Pareggio mortale</t>
        </is>
      </c>
      <c r="C12" s="11" t="inlineStr">
        <is>
          <t xml:space="preserve">Il «pareggio mortale» (Attacco uguale su Spada → muoiono entrambe) scatta SEMPRE negli specchi, cioè ogni volta che una carta affronta una sua copia. Con 2-3 copie per carta in un mazzo capita di continuo, e al Livello 1 il criterio C5 non basta a evitarlo.
VALUTA se trasformarlo in «entrambe subiscono metà danno» invece della morte istantanea: dopo il modello resta l'unica fonte di doppi KO.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13" customWidth="1"/>
    <col min="3" max="3" width="6" customWidth="1"/>
    <col min="4" max="4" width="6" customWidth="1"/>
    <col min="5" max="5" width="6" customWidth="1"/>
    <col min="6" max="6" width="11" customWidth="1"/>
    <col min="7" max="7" width="10" customWidth="1"/>
    <col min="8" max="8" width="50" customWidth="1"/>
    <col min="9" max="9" width="50" customWidth="1"/>
  </cols>
  <sheetData>
    <row r="1" ht="30" customHeight="1">
      <c r="A1" s="3" t="inlineStr">
        <is>
          <t xml:space="preserve">Liv</t>
        </is>
      </c>
      <c r="B1" s="3" t="inlineStr">
        <is>
          <t xml:space="preserve">Ruolo</t>
        </is>
      </c>
      <c r="C1" s="3" t="inlineStr">
        <is>
          <t xml:space="preserve">Att</t>
        </is>
      </c>
      <c r="D1" s="3" t="inlineStr">
        <is>
          <t xml:space="preserve">Par</t>
        </is>
      </c>
      <c r="E1" s="3" t="inlineStr">
        <is>
          <t xml:space="preserve">Vita</t>
        </is>
      </c>
      <c r="F1" s="3" t="inlineStr">
        <is>
          <t xml:space="preserve">Att/turno</t>
        </is>
      </c>
      <c r="G1" s="3" t="inlineStr">
        <is>
          <t xml:space="preserve">Budget</t>
        </is>
      </c>
      <c r="H1" s="3" t="inlineStr">
        <is>
          <t xml:space="preserve">Mestiere in partita</t>
        </is>
      </c>
      <c r="I1" s="3" t="inlineStr">
        <is>
          <t xml:space="preserve">Come si batte</t>
        </is>
      </c>
    </row>
    <row r="2" ht="30" customHeight="1">
      <c r="A2" s="15">
        <v>1</v>
      </c>
      <c r="B2" s="18" t="inlineStr">
        <is>
          <t xml:space="preserve">aggressore</t>
        </is>
      </c>
      <c r="C2" s="15">
        <v>12</v>
      </c>
      <c r="D2" s="15">
        <v>1</v>
      </c>
      <c r="E2" s="15">
        <v>9</v>
      </c>
      <c r="F2" s="15">
        <v>2</v>
      </c>
      <c r="G2" s="24">
        <f>C2+D2/4+E2/4+3*(F2-2)</f>
      </c>
      <c r="H2" s="21" t="inlineStr">
        <is>
          <t xml:space="preserve">Uccide in fretta, muore in fretta. Definisce il tetto di Parata del livello.</t>
        </is>
      </c>
      <c r="I2" s="21" t="inlineStr">
        <is>
          <t xml:space="preserve">Qualunque cosa sopravviva al primo turno: ha Parata e Vita minime.</t>
        </is>
      </c>
    </row>
    <row r="3" ht="30" customHeight="1">
      <c r="A3" s="15">
        <v>1</v>
      </c>
      <c r="B3" s="18" t="inlineStr">
        <is>
          <t xml:space="preserve">evasivo</t>
        </is>
      </c>
      <c r="C3" s="15">
        <v>7</v>
      </c>
      <c r="D3" s="15">
        <v>2</v>
      </c>
      <c r="E3" s="15">
        <v>7</v>
      </c>
      <c r="F3" s="15">
        <v>3</v>
      </c>
      <c r="G3" s="24">
        <f>C3+D3/4+E3/4+3*(F3-2)</f>
      </c>
      <c r="H3" s="21" t="inlineStr">
        <is>
          <t xml:space="preserve">Tre attacchi: logora. Il dado Effimeri ha 3 Schivate su 8.</t>
        </is>
      </c>
      <c r="I3" s="21" t="inlineStr">
        <is>
          <t xml:space="preserve">Un solo colpo pesante: ha la Vita più bassa del livello.</t>
        </is>
      </c>
    </row>
    <row r="4" ht="30" customHeight="1">
      <c r="A4" s="15">
        <v>1</v>
      </c>
      <c r="B4" s="18" t="inlineStr">
        <is>
          <t xml:space="preserve">bilanciato</t>
        </is>
      </c>
      <c r="C4" s="15">
        <v>8</v>
      </c>
      <c r="D4" s="15">
        <v>5</v>
      </c>
      <c r="E4" s="15">
        <v>12</v>
      </c>
      <c r="F4" s="15">
        <v>2</v>
      </c>
      <c r="G4" s="24">
        <f>C4+D4/4+E4/4+3*(F4-2)</f>
      </c>
      <c r="H4" s="21" t="inlineStr">
        <is>
          <t xml:space="preserve">Nessun punto debole, nessun picco. La truppa di manovra.</t>
        </is>
      </c>
      <c r="I4" s="21" t="inlineStr">
        <is>
          <t xml:space="preserve">L'aggressore: perde lo scambio secco.</t>
        </is>
      </c>
    </row>
    <row r="5" ht="30" customHeight="1">
      <c r="A5" s="15">
        <v>1</v>
      </c>
      <c r="B5" s="18" t="inlineStr">
        <is>
          <t xml:space="preserve">supporto</t>
        </is>
      </c>
      <c r="C5" s="15">
        <v>6</v>
      </c>
      <c r="D5" s="15">
        <v>8</v>
      </c>
      <c r="E5" s="15">
        <v>14</v>
      </c>
      <c r="F5" s="15">
        <v>2</v>
      </c>
      <c r="G5" s="24">
        <f>C5+D5/4+E5/4+3*(F5-2)</f>
      </c>
      <c r="H5" s="21" t="inlineStr">
        <is>
          <t xml:space="preserve">Regge la linea mentre i suoi effetti lavorano.</t>
        </is>
      </c>
      <c r="I5" s="21" t="inlineStr">
        <is>
          <t xml:space="preserve">L'aggressore, che gli buca la Parata 8 con Attacco 12.</t>
        </is>
      </c>
    </row>
    <row r="6" ht="30" customHeight="1">
      <c r="A6" s="15">
        <v>1</v>
      </c>
      <c r="B6" s="18" t="inlineStr">
        <is>
          <t xml:space="preserve">difensore</t>
        </is>
      </c>
      <c r="C6" s="15">
        <v>5</v>
      </c>
      <c r="D6" s="15">
        <v>8</v>
      </c>
      <c r="E6" s="15">
        <v>14</v>
      </c>
      <c r="F6" s="15">
        <v>2</v>
      </c>
      <c r="G6" s="24">
        <f>C6+D6/4+E6/4+3*(F6-2)</f>
      </c>
      <c r="H6" s="21" t="inlineStr">
        <is>
          <t xml:space="preserve">Protegge gli altri. Parata al tetto del livello.</t>
        </is>
      </c>
      <c r="I6" s="21" t="inlineStr">
        <is>
          <t xml:space="preserve">Solo l'aggressore sullo Scudo; gli altri devono passare dal Cuore.</t>
        </is>
      </c>
    </row>
    <row r="7" ht="30" customHeight="1">
      <c r="A7" s="15">
        <v>1</v>
      </c>
      <c r="B7" s="18" t="inlineStr">
        <is>
          <t xml:space="preserve">tank</t>
        </is>
      </c>
      <c r="C7" s="15">
        <v>4</v>
      </c>
      <c r="D7" s="15">
        <v>8</v>
      </c>
      <c r="E7" s="15">
        <v>28</v>
      </c>
      <c r="F7" s="15">
        <v>1</v>
      </c>
      <c r="G7" s="24">
        <f>C7+D7/4+E7/4+3*(F7-2)</f>
      </c>
      <c r="H7" s="21" t="inlineStr">
        <is>
          <t xml:space="preserve">IL MURO. Un attacco solo: assorbe, non uccide.</t>
        </is>
      </c>
      <c r="I7" s="21" t="inlineStr">
        <is>
          <t xml:space="preserve">Con pazienza, e con l'aggressore. Cade, ma costa turni.</t>
        </is>
      </c>
    </row>
    <row r="8" ht="30" customHeight="1">
      <c r="A8" s="16">
        <v>2</v>
      </c>
      <c r="B8" s="19" t="inlineStr">
        <is>
          <t xml:space="preserve">aggressore</t>
        </is>
      </c>
      <c r="C8" s="16">
        <v>24</v>
      </c>
      <c r="D8" s="16">
        <v>3</v>
      </c>
      <c r="E8" s="16">
        <v>17</v>
      </c>
      <c r="F8" s="16">
        <v>2</v>
      </c>
      <c r="G8" s="25">
        <f>C8+D8/4+E8/4+3*(F8-2)</f>
      </c>
      <c r="H8" s="22" t="inlineStr">
        <is>
          <t xml:space="preserve">Come al Livello 1, in scala. Definisce il tetto di Parata (20).</t>
        </is>
      </c>
      <c r="I8" s="22" t="inlineStr">
        <is>
          <t xml:space="preserve">Ha Parata 3: qualunque contrattacco lo ferisce.</t>
        </is>
      </c>
    </row>
    <row r="9" ht="30" customHeight="1">
      <c r="A9" s="16">
        <v>2</v>
      </c>
      <c r="B9" s="19" t="inlineStr">
        <is>
          <t xml:space="preserve">evasivo</t>
        </is>
      </c>
      <c r="C9" s="16">
        <v>15</v>
      </c>
      <c r="D9" s="16">
        <v>4</v>
      </c>
      <c r="E9" s="16">
        <v>13</v>
      </c>
      <c r="F9" s="16">
        <v>3</v>
      </c>
      <c r="G9" s="25">
        <f>C9+D9/4+E9/4+3*(F9-2)</f>
      </c>
      <c r="H9" s="22" t="inlineStr">
        <is>
          <t xml:space="preserve">Tre attacchi. Oggi al Livello 2 non esiste: due carte ci vengono spostate.</t>
        </is>
      </c>
      <c r="I9" s="22" t="inlineStr">
        <is>
          <t xml:space="preserve">Un colpo pesante: Vita 13 è la più bassa del livello.</t>
        </is>
      </c>
    </row>
    <row r="10" ht="30" customHeight="1">
      <c r="A10" s="16">
        <v>2</v>
      </c>
      <c r="B10" s="19" t="inlineStr">
        <is>
          <t xml:space="preserve">bilanciato</t>
        </is>
      </c>
      <c r="C10" s="16">
        <v>16</v>
      </c>
      <c r="D10" s="16">
        <v>11</v>
      </c>
      <c r="E10" s="16">
        <v>23</v>
      </c>
      <c r="F10" s="16">
        <v>2</v>
      </c>
      <c r="G10" s="25">
        <f>C10+D10/4+E10/4+3*(F10-2)</f>
      </c>
      <c r="H10" s="22" t="inlineStr">
        <is>
          <t xml:space="preserve">La truppa di manovra del Livello 2.</t>
        </is>
      </c>
      <c r="I10" s="22" t="inlineStr">
        <is>
          <t xml:space="preserve">L'aggressore.</t>
        </is>
      </c>
    </row>
    <row r="11" ht="30" customHeight="1">
      <c r="A11" s="16">
        <v>2</v>
      </c>
      <c r="B11" s="19" t="inlineStr">
        <is>
          <t xml:space="preserve">supporto</t>
        </is>
      </c>
      <c r="C11" s="16">
        <v>13</v>
      </c>
      <c r="D11" s="16">
        <v>17</v>
      </c>
      <c r="E11" s="16">
        <v>28</v>
      </c>
      <c r="F11" s="16">
        <v>2</v>
      </c>
      <c r="G11" s="25">
        <f>C11+D11/4+E11/4+3*(F11-2)</f>
      </c>
      <c r="H11" s="22" t="inlineStr">
        <is>
          <t xml:space="preserve">Oggi al Livello 2 non esiste: la Pianta Carnivora ci viene spostata.</t>
        </is>
      </c>
      <c r="I11" s="22" t="inlineStr">
        <is>
          <t xml:space="preserve">L'aggressore (24 contro Parata 17).</t>
        </is>
      </c>
    </row>
    <row r="12" ht="30" customHeight="1">
      <c r="A12" s="16">
        <v>2</v>
      </c>
      <c r="B12" s="19" t="inlineStr">
        <is>
          <t xml:space="preserve">difensore</t>
        </is>
      </c>
      <c r="C12" s="16">
        <v>10</v>
      </c>
      <c r="D12" s="16">
        <v>20</v>
      </c>
      <c r="E12" s="16">
        <v>29</v>
      </c>
      <c r="F12" s="16">
        <v>2</v>
      </c>
      <c r="G12" s="25">
        <f>C12+D12/4+E12/4+3*(F12-2)</f>
      </c>
      <c r="H12" s="22" t="inlineStr">
        <is>
          <t xml:space="preserve">Parata al tetto del livello.</t>
        </is>
      </c>
      <c r="I12" s="22" t="inlineStr">
        <is>
          <t xml:space="preserve">Solo l'aggressore (24 contro 20). Margine +4.</t>
        </is>
      </c>
    </row>
    <row r="13" ht="30" customHeight="1">
      <c r="A13" s="16">
        <v>2</v>
      </c>
      <c r="B13" s="19" t="inlineStr">
        <is>
          <t xml:space="preserve">tank</t>
        </is>
      </c>
      <c r="C13" s="16">
        <v>8</v>
      </c>
      <c r="D13" s="16">
        <v>20</v>
      </c>
      <c r="E13" s="16">
        <v>56</v>
      </c>
      <c r="F13" s="16">
        <v>1</v>
      </c>
      <c r="G13" s="25">
        <f>C13+D13/4+E13/4+3*(F13-2)</f>
      </c>
      <c r="H13" s="22" t="inlineStr">
        <is>
          <t xml:space="preserve">IL MURO del Livello 2. Un attacco, Vita 56.</t>
        </is>
      </c>
      <c r="I13" s="22" t="inlineStr">
        <is>
          <t xml:space="preserve">Lentamente, e solo con l'aggressore.</t>
        </is>
      </c>
    </row>
    <row r="14" ht="30" customHeight="1">
      <c r="A14" s="17">
        <v>3</v>
      </c>
      <c r="B14" s="20" t="inlineStr">
        <is>
          <t xml:space="preserve">aggressore</t>
        </is>
      </c>
      <c r="C14" s="17">
        <v>30</v>
      </c>
      <c r="D14" s="17">
        <v>4</v>
      </c>
      <c r="E14" s="17">
        <v>26</v>
      </c>
      <c r="F14" s="17">
        <v>2</v>
      </c>
      <c r="G14" s="26">
        <f>C14+D14/4+E14/4+3*(F14-2)</f>
      </c>
      <c r="H14" s="23" t="inlineStr">
        <is>
          <t xml:space="preserve">L'unica carta che buca i muri del suo livello. Margine +4 su Parata 26.</t>
        </is>
      </c>
      <c r="I14" s="23" t="inlineStr">
        <is>
          <t xml:space="preserve">Qualunque cosa: Parata 4 e Vita 26 sono le più basse del livello.</t>
        </is>
      </c>
    </row>
    <row r="15" ht="30" customHeight="1">
      <c r="A15" s="17">
        <v>3</v>
      </c>
      <c r="B15" s="20" t="inlineStr">
        <is>
          <t xml:space="preserve">evasivo</t>
        </is>
      </c>
      <c r="C15" s="17">
        <v>22</v>
      </c>
      <c r="D15" s="17">
        <v>6</v>
      </c>
      <c r="E15" s="17">
        <v>20</v>
      </c>
      <c r="F15" s="17">
        <v>3</v>
      </c>
      <c r="G15" s="26">
        <f>C15+D15/4+E15/4+3*(F15-2)</f>
      </c>
      <c r="H15" s="23" t="inlineStr">
        <is>
          <t xml:space="preserve">SLOT VUOTO — nessuna carta esistente ha un effetto compatibile. Da creare.</t>
        </is>
      </c>
      <c r="I15" s="23" t="inlineStr">
        <is>
          <t xml:space="preserve">—</t>
        </is>
      </c>
    </row>
    <row r="16" ht="30" customHeight="1">
      <c r="A16" s="17">
        <v>3</v>
      </c>
      <c r="B16" s="20" t="inlineStr">
        <is>
          <t xml:space="preserve">bilanciato</t>
        </is>
      </c>
      <c r="C16" s="17">
        <v>23</v>
      </c>
      <c r="D16" s="17">
        <v>16</v>
      </c>
      <c r="E16" s="17">
        <v>35</v>
      </c>
      <c r="F16" s="17">
        <v>2</v>
      </c>
      <c r="G16" s="26">
        <f>C16+D16/4+E16/4+3*(F16-2)</f>
      </c>
      <c r="H16" s="23" t="inlineStr">
        <is>
          <t xml:space="preserve">La truppa di manovra. Non deve avere l'Attacco più alto del gioco.</t>
        </is>
      </c>
      <c r="I16" s="23" t="inlineStr">
        <is>
          <t xml:space="preserve">L'aggressore.</t>
        </is>
      </c>
    </row>
    <row r="17" ht="30" customHeight="1">
      <c r="A17" s="17">
        <v>3</v>
      </c>
      <c r="B17" s="20" t="inlineStr">
        <is>
          <t xml:space="preserve">supporto</t>
        </is>
      </c>
      <c r="C17" s="17">
        <v>19</v>
      </c>
      <c r="D17" s="17">
        <v>26</v>
      </c>
      <c r="E17" s="17">
        <v>42</v>
      </c>
      <c r="F17" s="17">
        <v>2</v>
      </c>
      <c r="G17" s="26">
        <f>C17+D17/4+E17/4+3*(F17-2)</f>
      </c>
      <c r="H17" s="23" t="inlineStr">
        <is>
          <t xml:space="preserve">Parata al tetto. Il Guardiano di Marbion viene spostato qui.</t>
        </is>
      </c>
      <c r="I17" s="23" t="inlineStr">
        <is>
          <t xml:space="preserve">Solo l'aggressore.</t>
        </is>
      </c>
    </row>
    <row r="18" ht="30" customHeight="1">
      <c r="A18" s="17">
        <v>3</v>
      </c>
      <c r="B18" s="20" t="inlineStr">
        <is>
          <t xml:space="preserve">difensore</t>
        </is>
      </c>
      <c r="C18" s="17">
        <v>14</v>
      </c>
      <c r="D18" s="17">
        <v>26</v>
      </c>
      <c r="E18" s="17">
        <v>43</v>
      </c>
      <c r="F18" s="17">
        <v>2</v>
      </c>
      <c r="G18" s="26">
        <f>C18+D18/4+E18/4+3*(F18-2)</f>
      </c>
      <c r="H18" s="23" t="inlineStr">
        <is>
          <t xml:space="preserve">Parata al tetto del livello. Margine +4.</t>
        </is>
      </c>
      <c r="I18" s="23" t="inlineStr">
        <is>
          <t xml:space="preserve">Solo l'aggressore.</t>
        </is>
      </c>
    </row>
    <row r="19" ht="30" customHeight="1">
      <c r="A19" s="17">
        <v>3</v>
      </c>
      <c r="B19" s="20" t="inlineStr">
        <is>
          <t xml:space="preserve">tank</t>
        </is>
      </c>
      <c r="C19" s="17">
        <v>12</v>
      </c>
      <c r="D19" s="17">
        <v>26</v>
      </c>
      <c r="E19" s="17">
        <v>82</v>
      </c>
      <c r="F19" s="17">
        <v>1</v>
      </c>
      <c r="G19" s="26">
        <f>C19+D19/4+E19/4+3*(F19-2)</f>
      </c>
      <c r="H19" s="23" t="inlineStr">
        <is>
          <t xml:space="preserve">IL MURO. Parata 26, Vita 82, UN attacco. Resiste ×4,0 di un aggressore.</t>
        </is>
      </c>
      <c r="I19" s="23" t="inlineStr">
        <is>
          <t xml:space="preserve">Cade in 5,8 turni contro l'aggressore. Vince il 39% dei duelli: non è un bersaglio inerte.</t>
        </is>
      </c>
    </row>
    <row r="21" ht="46" customHeight="1">
      <c r="B21" s="10" t="inlineStr">
        <is>
          <t xml:space="preserve">I budget dei sei ruoli restano entro il 10-15% l'uno dall'altro, non esattamente uguali: è il prezzo per tenere i profili di ruolo netti. Oggi lo scarto è del 74% (aggressore 15,3 contro tank 8,8 al Livello 1). La verifica vera non è la formula ma la matrice degli scontri, che con questi profili sta fra il 23% e il 77%, senza nessuna casella a 0% o 100% e senza doppi KO.</t>
        </is>
      </c>
    </row>
  </sheetData>
  <mergeCells count="1">
    <mergeCell ref="B21:I21"/>
  </mergeCell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" customWidth="1"/>
    <col min="2" max="2" width="32" customWidth="1"/>
    <col min="3" max="3" width="10" customWidth="1"/>
    <col min="4" max="4" width="12" customWidth="1"/>
    <col min="5" max="5" width="12" customWidth="1"/>
    <col min="6" max="6" width="12" customWidth="1"/>
    <col min="7" max="7" width="12" customWidth="1"/>
    <col min="8" max="8" width="6" customWidth="1"/>
    <col min="9" max="9" width="6" customWidth="1"/>
    <col min="10" max="10" width="6" customWidth="1"/>
    <col min="11" max="11" width="5" customWidth="1"/>
    <col min="12" max="12" width="6" customWidth="1"/>
    <col min="13" max="13" width="6" customWidth="1"/>
    <col min="14" max="14" width="6" customWidth="1"/>
    <col min="15" max="15" width="5" customWidth="1"/>
    <col min="16" max="16" width="6" customWidth="1"/>
    <col min="17" max="17" width="6" customWidth="1"/>
    <col min="18" max="18" width="7" customWidth="1"/>
    <col min="19" max="19" width="8" customWidth="1"/>
    <col min="20" max="20" width="74" customWidth="1"/>
  </cols>
  <sheetData>
    <row r="1" ht="34" customHeight="1">
      <c r="A1" s="3" t="inlineStr">
        <is>
          <t xml:space="preserve">Liv</t>
        </is>
      </c>
      <c r="B1" s="3" t="inlineStr">
        <is>
          <t xml:space="preserve">Nome</t>
        </is>
      </c>
      <c r="C1" s="3" t="inlineStr">
        <is>
          <t xml:space="preserve">Mazzo</t>
        </is>
      </c>
      <c r="D1" s="3" t="inlineStr">
        <is>
          <t xml:space="preserve">Ruolo oggi</t>
        </is>
      </c>
      <c r="E1" s="3" t="inlineStr">
        <is>
          <t xml:space="preserve">Ruolo nuovo</t>
        </is>
      </c>
      <c r="F1" s="3" t="inlineStr">
        <is>
          <t xml:space="preserve">Archetipo oggi</t>
        </is>
      </c>
      <c r="G1" s="3" t="inlineStr">
        <is>
          <t xml:space="preserve">Archetipo nuovo</t>
        </is>
      </c>
      <c r="H1" s="3" t="inlineStr">
        <is>
          <t xml:space="preserve">Att oggi</t>
        </is>
      </c>
      <c r="I1" s="3" t="inlineStr">
        <is>
          <t xml:space="preserve">Par oggi</t>
        </is>
      </c>
      <c r="J1" s="3" t="inlineStr">
        <is>
          <t xml:space="preserve">Vita oggi</t>
        </is>
      </c>
      <c r="K1" s="3" t="inlineStr">
        <is>
          <t xml:space="preserve">N oggi</t>
        </is>
      </c>
      <c r="L1" s="3" t="inlineStr">
        <is>
          <t xml:space="preserve">ATT</t>
        </is>
      </c>
      <c r="M1" s="3" t="inlineStr">
        <is>
          <t xml:space="preserve">PAR</t>
        </is>
      </c>
      <c r="N1" s="3" t="inlineStr">
        <is>
          <t xml:space="preserve">VITA</t>
        </is>
      </c>
      <c r="O1" s="3" t="inlineStr">
        <is>
          <t xml:space="preserve">N</t>
        </is>
      </c>
      <c r="P1" s="3" t="inlineStr">
        <is>
          <t xml:space="preserve">ΔAtt</t>
        </is>
      </c>
      <c r="Q1" s="3" t="inlineStr">
        <is>
          <t xml:space="preserve">ΔPar</t>
        </is>
      </c>
      <c r="R1" s="3" t="inlineStr">
        <is>
          <t xml:space="preserve">ΔVita</t>
        </is>
      </c>
      <c r="S1" s="3" t="inlineStr">
        <is>
          <t xml:space="preserve">Budget</t>
        </is>
      </c>
      <c r="T1" s="3" t="inlineStr">
        <is>
          <t xml:space="preserve">Perché questo cambio</t>
        </is>
      </c>
    </row>
    <row r="2" ht="30" customHeight="1">
      <c r="A2" s="15">
        <v>1</v>
      </c>
      <c r="B2" s="18" t="inlineStr">
        <is>
          <t xml:space="preserve">Araldo Tempesta</t>
        </is>
      </c>
      <c r="C2" s="12" t="inlineStr">
        <is>
          <t xml:space="preserve">Frost Land</t>
        </is>
      </c>
      <c r="D2" s="12" t="inlineStr">
        <is>
          <t xml:space="preserve">aggressore</t>
        </is>
      </c>
      <c r="E2" s="12" t="inlineStr">
        <is>
          <t xml:space="preserve">aggressore</t>
        </is>
      </c>
      <c r="F2" s="12" t="inlineStr">
        <is>
          <t xml:space="preserve">Assalitore</t>
        </is>
      </c>
      <c r="G2" s="12" t="inlineStr">
        <is>
          <t xml:space="preserve">Assalitore</t>
        </is>
      </c>
      <c r="H2" s="15">
        <v>12</v>
      </c>
      <c r="I2" s="15">
        <v>2</v>
      </c>
      <c r="J2" s="15">
        <v>10</v>
      </c>
      <c r="K2" s="15">
        <v>2</v>
      </c>
      <c r="L2" s="34">
        <v>12</v>
      </c>
      <c r="M2" s="34">
        <v>1</v>
      </c>
      <c r="N2" s="34">
        <v>9</v>
      </c>
      <c r="O2" s="34">
        <v>2</v>
      </c>
      <c r="P2" s="38" t="inlineStr">
        <is>
          <t xml:space="preserve">+0</t>
        </is>
      </c>
      <c r="Q2" s="37" t="inlineStr">
        <is>
          <t xml:space="preserve">-1</t>
        </is>
      </c>
      <c r="R2" s="37" t="inlineStr">
        <is>
          <t xml:space="preserve">-1</t>
        </is>
      </c>
      <c r="S2" s="24">
        <f>L2+M2/4+N2/4+3*(O2-2)</f>
      </c>
      <c r="T2" s="21" t="inlineStr">
        <is>
          <t xml:space="preserve">Profilo aggressore: Attacco al tetto del livello, Parata al minimo. E' la carta che definisce il tetto di Parata (12-4=8).</t>
        </is>
      </c>
    </row>
    <row r="3" ht="30" customHeight="1">
      <c r="A3" s="15">
        <v>1</v>
      </c>
      <c r="B3" s="18" t="inlineStr">
        <is>
          <t xml:space="preserve">Lupo Famelico</t>
        </is>
      </c>
      <c r="C3" s="12" t="inlineStr">
        <is>
          <t xml:space="preserve">Frost Land</t>
        </is>
      </c>
      <c r="D3" s="12" t="inlineStr">
        <is>
          <t xml:space="preserve">aggressore</t>
        </is>
      </c>
      <c r="E3" s="12" t="inlineStr">
        <is>
          <t xml:space="preserve">aggressore</t>
        </is>
      </c>
      <c r="F3" s="12" t="inlineStr">
        <is>
          <t xml:space="preserve">Assalitore</t>
        </is>
      </c>
      <c r="G3" s="12" t="inlineStr">
        <is>
          <t xml:space="preserve">Assalitore</t>
        </is>
      </c>
      <c r="H3" s="15">
        <v>12</v>
      </c>
      <c r="I3" s="15">
        <v>2</v>
      </c>
      <c r="J3" s="15">
        <v>10</v>
      </c>
      <c r="K3" s="15">
        <v>2</v>
      </c>
      <c r="L3" s="34">
        <v>12</v>
      </c>
      <c r="M3" s="34">
        <v>1</v>
      </c>
      <c r="N3" s="34">
        <v>9</v>
      </c>
      <c r="O3" s="34">
        <v>2</v>
      </c>
      <c r="P3" s="38" t="inlineStr">
        <is>
          <t xml:space="preserve">+0</t>
        </is>
      </c>
      <c r="Q3" s="37" t="inlineStr">
        <is>
          <t xml:space="preserve">-1</t>
        </is>
      </c>
      <c r="R3" s="37" t="inlineStr">
        <is>
          <t xml:space="preserve">-1</t>
        </is>
      </c>
      <c r="S3" s="24">
        <f>L3+M3/4+N3/4+3*(O3-2)</f>
      </c>
      <c r="T3" s="21" t="inlineStr">
        <is>
          <t xml:space="preserve">Come sopra. Ha gia' +4 Attacco condizionale stampato.</t>
        </is>
      </c>
    </row>
    <row r="4" ht="30" customHeight="1">
      <c r="A4" s="15">
        <v>1</v>
      </c>
      <c r="B4" s="18" t="inlineStr">
        <is>
          <t xml:space="preserve">Ladro di Luce</t>
        </is>
      </c>
      <c r="C4" s="12" t="inlineStr">
        <is>
          <t xml:space="preserve">Marbion</t>
        </is>
      </c>
      <c r="D4" s="12" t="inlineStr">
        <is>
          <t xml:space="preserve">aggressore</t>
        </is>
      </c>
      <c r="E4" s="12" t="inlineStr">
        <is>
          <t xml:space="preserve">aggressore</t>
        </is>
      </c>
      <c r="F4" s="12" t="inlineStr">
        <is>
          <t xml:space="preserve">Assalitore</t>
        </is>
      </c>
      <c r="G4" s="12" t="inlineStr">
        <is>
          <t xml:space="preserve">Assalitore</t>
        </is>
      </c>
      <c r="H4" s="15">
        <v>12</v>
      </c>
      <c r="I4" s="15">
        <v>2</v>
      </c>
      <c r="J4" s="15">
        <v>10</v>
      </c>
      <c r="K4" s="15">
        <v>2</v>
      </c>
      <c r="L4" s="34">
        <v>11</v>
      </c>
      <c r="M4" s="34">
        <v>2</v>
      </c>
      <c r="N4" s="34">
        <v>11</v>
      </c>
      <c r="O4" s="34">
        <v>2</v>
      </c>
      <c r="P4" s="37" t="inlineStr">
        <is>
          <t xml:space="preserve">-1</t>
        </is>
      </c>
      <c r="Q4" s="38" t="inlineStr">
        <is>
          <t xml:space="preserve">+0</t>
        </is>
      </c>
      <c r="R4" s="36" t="inlineStr">
        <is>
          <t xml:space="preserve">+1</t>
        </is>
      </c>
      <c r="S4" s="24">
        <f>L4+M4/4+N4/4+3*(O4-2)</f>
      </c>
      <c r="T4" s="21" t="inlineStr">
        <is>
          <t xml:space="preserve">Attacco distanziato da 12 a 11 per non ammassare i valori (regola anti-pareggio-mortale).</t>
        </is>
      </c>
    </row>
    <row r="5" ht="30" customHeight="1">
      <c r="A5" s="15">
        <v>1</v>
      </c>
      <c r="B5" s="18" t="inlineStr">
        <is>
          <t xml:space="preserve">Manipolatrice Rossa</t>
        </is>
      </c>
      <c r="C5" s="12" t="inlineStr">
        <is>
          <t xml:space="preserve">Marbion</t>
        </is>
      </c>
      <c r="D5" s="12" t="inlineStr">
        <is>
          <t xml:space="preserve">aggressore</t>
        </is>
      </c>
      <c r="E5" s="12" t="inlineStr">
        <is>
          <t xml:space="preserve">aggressore</t>
        </is>
      </c>
      <c r="F5" s="12" t="inlineStr">
        <is>
          <t xml:space="preserve">Tessitore</t>
        </is>
      </c>
      <c r="G5" s="12" t="inlineStr">
        <is>
          <t xml:space="preserve">Tessitore</t>
        </is>
      </c>
      <c r="H5" s="15">
        <v>12</v>
      </c>
      <c r="I5" s="15">
        <v>2</v>
      </c>
      <c r="J5" s="15">
        <v>11</v>
      </c>
      <c r="K5" s="15">
        <v>2</v>
      </c>
      <c r="L5" s="34">
        <v>11</v>
      </c>
      <c r="M5" s="34">
        <v>2</v>
      </c>
      <c r="N5" s="34">
        <v>11</v>
      </c>
      <c r="O5" s="34">
        <v>2</v>
      </c>
      <c r="P5" s="37" t="inlineStr">
        <is>
          <t xml:space="preserve">-1</t>
        </is>
      </c>
      <c r="Q5" s="38" t="inlineStr">
        <is>
          <t xml:space="preserve">+0</t>
        </is>
      </c>
      <c r="R5" s="38" t="inlineStr">
        <is>
          <t xml:space="preserve">+0</t>
        </is>
      </c>
      <c r="S5" s="24">
        <f>L5+M5/4+N5/4+3*(O5-2)</f>
      </c>
      <c r="T5" s="21" t="inlineStr">
        <is>
          <t xml:space="preserve">Idem. Il suo effetto (+2 Att per Manipolatrice) la fa gia' salire in campo.</t>
        </is>
      </c>
    </row>
    <row r="6" ht="30" customHeight="1">
      <c r="A6" s="15">
        <v>1</v>
      </c>
      <c r="B6" s="18" t="inlineStr">
        <is>
          <t xml:space="preserve">Manipolatrice Nera</t>
        </is>
      </c>
      <c r="C6" s="12" t="inlineStr">
        <is>
          <t xml:space="preserve">Marbion</t>
        </is>
      </c>
      <c r="D6" s="12" t="inlineStr">
        <is>
          <t xml:space="preserve">aggressore</t>
        </is>
      </c>
      <c r="E6" s="12" t="inlineStr">
        <is>
          <t xml:space="preserve">aggressore</t>
        </is>
      </c>
      <c r="F6" s="12" t="inlineStr">
        <is>
          <t xml:space="preserve">Tessitore</t>
        </is>
      </c>
      <c r="G6" s="12" t="inlineStr">
        <is>
          <t xml:space="preserve">Tessitore</t>
        </is>
      </c>
      <c r="H6" s="15">
        <v>12</v>
      </c>
      <c r="I6" s="15">
        <v>2</v>
      </c>
      <c r="J6" s="15">
        <v>11</v>
      </c>
      <c r="K6" s="15">
        <v>2</v>
      </c>
      <c r="L6" s="34">
        <v>10</v>
      </c>
      <c r="M6" s="34">
        <v>2</v>
      </c>
      <c r="N6" s="34">
        <v>13</v>
      </c>
      <c r="O6" s="34">
        <v>2</v>
      </c>
      <c r="P6" s="37" t="inlineStr">
        <is>
          <t xml:space="preserve">-2</t>
        </is>
      </c>
      <c r="Q6" s="38" t="inlineStr">
        <is>
          <t xml:space="preserve">+0</t>
        </is>
      </c>
      <c r="R6" s="36" t="inlineStr">
        <is>
          <t xml:space="preserve">+2</t>
        </is>
      </c>
      <c r="S6" s="24">
        <f>L6+M6/4+N6/4+3*(O6-2)</f>
      </c>
      <c r="T6" s="21" t="inlineStr">
        <is>
          <t xml:space="preserve">Attacco distanziato. Torna in campo alla morte: piu' Vita, meno picco.</t>
        </is>
      </c>
    </row>
    <row r="7" ht="30" customHeight="1">
      <c r="A7" s="15">
        <v>1</v>
      </c>
      <c r="B7" s="18" t="inlineStr">
        <is>
          <t xml:space="preserve">Manipolatrice Verde</t>
        </is>
      </c>
      <c r="C7" s="12" t="inlineStr">
        <is>
          <t xml:space="preserve">Marbion</t>
        </is>
      </c>
      <c r="D7" s="12" t="inlineStr">
        <is>
          <t xml:space="preserve">aggressore</t>
        </is>
      </c>
      <c r="E7" s="12" t="inlineStr">
        <is>
          <t xml:space="preserve">aggressore</t>
        </is>
      </c>
      <c r="F7" s="12" t="inlineStr">
        <is>
          <t xml:space="preserve">Tessitore</t>
        </is>
      </c>
      <c r="G7" s="12" t="inlineStr">
        <is>
          <t xml:space="preserve">Tessitore</t>
        </is>
      </c>
      <c r="H7" s="15">
        <v>12</v>
      </c>
      <c r="I7" s="15">
        <v>2</v>
      </c>
      <c r="J7" s="15">
        <v>11</v>
      </c>
      <c r="K7" s="15">
        <v>2</v>
      </c>
      <c r="L7" s="34">
        <v>10</v>
      </c>
      <c r="M7" s="34">
        <v>1</v>
      </c>
      <c r="N7" s="34">
        <v>14</v>
      </c>
      <c r="O7" s="34">
        <v>2</v>
      </c>
      <c r="P7" s="37" t="inlineStr">
        <is>
          <t xml:space="preserve">-2</t>
        </is>
      </c>
      <c r="Q7" s="37" t="inlineStr">
        <is>
          <t xml:space="preserve">-1</t>
        </is>
      </c>
      <c r="R7" s="36" t="inlineStr">
        <is>
          <t xml:space="preserve">+3</t>
        </is>
      </c>
      <c r="S7" s="24">
        <f>L7+M7/4+N7/4+3*(O7-2)</f>
      </c>
      <c r="T7" s="21" t="inlineStr">
        <is>
          <t xml:space="preserve">Ha +3 Attacco stampato: la base scende a 10 cosi' l'effettivo resta 13.</t>
        </is>
      </c>
    </row>
    <row r="8" ht="30" customHeight="1">
      <c r="A8" s="15">
        <v>1</v>
      </c>
      <c r="B8" s="18" t="inlineStr">
        <is>
          <t xml:space="preserve">Lince Petalosa</t>
        </is>
      </c>
      <c r="C8" s="12" t="inlineStr">
        <is>
          <t xml:space="preserve">Marbion</t>
        </is>
      </c>
      <c r="D8" s="12" t="inlineStr">
        <is>
          <t xml:space="preserve">aggressore</t>
        </is>
      </c>
      <c r="E8" s="12" t="inlineStr">
        <is>
          <t xml:space="preserve">aggressore</t>
        </is>
      </c>
      <c r="F8" s="12" t="inlineStr">
        <is>
          <t xml:space="preserve">Assalitore</t>
        </is>
      </c>
      <c r="G8" s="12" t="inlineStr">
        <is>
          <t xml:space="preserve">Assalitore</t>
        </is>
      </c>
      <c r="H8" s="15">
        <v>11</v>
      </c>
      <c r="I8" s="15">
        <v>3</v>
      </c>
      <c r="J8" s="15">
        <v>14</v>
      </c>
      <c r="K8" s="15">
        <v>2</v>
      </c>
      <c r="L8" s="34">
        <v>9</v>
      </c>
      <c r="M8" s="34">
        <v>3</v>
      </c>
      <c r="N8" s="34">
        <v>15</v>
      </c>
      <c r="O8" s="34">
        <v>2</v>
      </c>
      <c r="P8" s="37" t="inlineStr">
        <is>
          <t xml:space="preserve">-2</t>
        </is>
      </c>
      <c r="Q8" s="38" t="inlineStr">
        <is>
          <t xml:space="preserve">+0</t>
        </is>
      </c>
      <c r="R8" s="36" t="inlineStr">
        <is>
          <t xml:space="preserve">+1</t>
        </is>
      </c>
      <c r="S8" s="24">
        <f>L8+M8/4+N8/4+3*(O8-2)</f>
      </c>
      <c r="T8" s="21" t="inlineStr">
        <is>
          <t xml:space="preserve">Coda bassa della forbice aggressori: meno picco, piu' resistenza.</t>
        </is>
      </c>
    </row>
    <row r="9" ht="30" customHeight="1">
      <c r="A9" s="15">
        <v>1</v>
      </c>
      <c r="B9" s="18" t="inlineStr">
        <is>
          <t xml:space="preserve">La Base Alimentare</t>
        </is>
      </c>
      <c r="C9" s="12" t="inlineStr">
        <is>
          <t xml:space="preserve">Frost Land</t>
        </is>
      </c>
      <c r="D9" s="12" t="inlineStr">
        <is>
          <t xml:space="preserve">evasivo</t>
        </is>
      </c>
      <c r="E9" s="12" t="inlineStr">
        <is>
          <t xml:space="preserve">evasivo</t>
        </is>
      </c>
      <c r="F9" s="12" t="inlineStr">
        <is>
          <t xml:space="preserve">Effimeri</t>
        </is>
      </c>
      <c r="G9" s="12" t="inlineStr">
        <is>
          <t xml:space="preserve">Effimeri</t>
        </is>
      </c>
      <c r="H9" s="15">
        <v>10</v>
      </c>
      <c r="I9" s="15">
        <v>4</v>
      </c>
      <c r="J9" s="15">
        <v>11</v>
      </c>
      <c r="K9" s="15">
        <v>2</v>
      </c>
      <c r="L9" s="34">
        <v>8</v>
      </c>
      <c r="M9" s="34">
        <v>3</v>
      </c>
      <c r="N9" s="34">
        <v>7</v>
      </c>
      <c r="O9" s="34">
        <v>3</v>
      </c>
      <c r="P9" s="37" t="inlineStr">
        <is>
          <t xml:space="preserve">-2</t>
        </is>
      </c>
      <c r="Q9" s="37" t="inlineStr">
        <is>
          <t xml:space="preserve">-1</t>
        </is>
      </c>
      <c r="R9" s="37" t="inlineStr">
        <is>
          <t xml:space="preserve">-4</t>
        </is>
      </c>
      <c r="S9" s="24">
        <f>L9+M9/4+N9/4+3*(O9-2)</f>
      </c>
      <c r="T9" s="21" t="inlineStr">
        <is>
          <t xml:space="preserve">Si auto-evoca in coppia: statistiche da sciame, non da singolo.</t>
        </is>
      </c>
    </row>
    <row r="10" ht="30" customHeight="1">
      <c r="A10" s="15">
        <v>1</v>
      </c>
      <c r="B10" s="18" t="inlineStr">
        <is>
          <t xml:space="preserve">Lucertola Schiva</t>
        </is>
      </c>
      <c r="C10" s="12" t="inlineStr">
        <is>
          <t xml:space="preserve">Marbion</t>
        </is>
      </c>
      <c r="D10" s="12" t="inlineStr">
        <is>
          <t xml:space="preserve">evasivo</t>
        </is>
      </c>
      <c r="E10" s="12" t="inlineStr">
        <is>
          <t xml:space="preserve">evasivo</t>
        </is>
      </c>
      <c r="F10" s="12" t="inlineStr">
        <is>
          <t xml:space="preserve">Effimeri</t>
        </is>
      </c>
      <c r="G10" s="12" t="inlineStr">
        <is>
          <t xml:space="preserve">Effimeri</t>
        </is>
      </c>
      <c r="H10" s="15">
        <v>10</v>
      </c>
      <c r="I10" s="15">
        <v>2</v>
      </c>
      <c r="J10" s="15">
        <v>9</v>
      </c>
      <c r="K10" s="15">
        <v>2</v>
      </c>
      <c r="L10" s="34">
        <v>8</v>
      </c>
      <c r="M10" s="34">
        <v>2</v>
      </c>
      <c r="N10" s="34">
        <v>6</v>
      </c>
      <c r="O10" s="34">
        <v>3</v>
      </c>
      <c r="P10" s="37" t="inlineStr">
        <is>
          <t xml:space="preserve">-2</t>
        </is>
      </c>
      <c r="Q10" s="38" t="inlineStr">
        <is>
          <t xml:space="preserve">+0</t>
        </is>
      </c>
      <c r="R10" s="37" t="inlineStr">
        <is>
          <t xml:space="preserve">-3</t>
        </is>
      </c>
      <c r="S10" s="24">
        <f>L10+M10/4+N10/4+3*(O10-2)</f>
      </c>
      <c r="T10" s="21" t="inlineStr">
        <is>
          <t xml:space="preserve">Attacco distanziato verso l'alto, Vita al minimo: la piu' aggressiva fra gli evasivi.</t>
        </is>
      </c>
    </row>
    <row r="11" ht="30" customHeight="1">
      <c r="A11" s="15">
        <v>1</v>
      </c>
      <c r="B11" s="18" t="inlineStr">
        <is>
          <t xml:space="preserve">Draghetto Arcobaleno</t>
        </is>
      </c>
      <c r="C11" s="12" t="inlineStr">
        <is>
          <t xml:space="preserve">Marbion</t>
        </is>
      </c>
      <c r="D11" s="12" t="inlineStr">
        <is>
          <t xml:space="preserve">evasivo</t>
        </is>
      </c>
      <c r="E11" s="12" t="inlineStr">
        <is>
          <t xml:space="preserve">evasivo</t>
        </is>
      </c>
      <c r="F11" s="12" t="inlineStr">
        <is>
          <t xml:space="preserve">Effimeri</t>
        </is>
      </c>
      <c r="G11" s="12" t="inlineStr">
        <is>
          <t xml:space="preserve">Effimeri</t>
        </is>
      </c>
      <c r="H11" s="15">
        <v>8</v>
      </c>
      <c r="I11" s="15">
        <v>3</v>
      </c>
      <c r="J11" s="15">
        <v>9</v>
      </c>
      <c r="K11" s="15">
        <v>2</v>
      </c>
      <c r="L11" s="34">
        <v>7</v>
      </c>
      <c r="M11" s="34">
        <v>3</v>
      </c>
      <c r="N11" s="34">
        <v>8</v>
      </c>
      <c r="O11" s="34">
        <v>3</v>
      </c>
      <c r="P11" s="37" t="inlineStr">
        <is>
          <t xml:space="preserve">-1</t>
        </is>
      </c>
      <c r="Q11" s="38" t="inlineStr">
        <is>
          <t xml:space="preserve">+0</t>
        </is>
      </c>
      <c r="R11" s="37" t="inlineStr">
        <is>
          <t xml:space="preserve">-1</t>
        </is>
      </c>
      <c r="S11" s="24">
        <f>L11+M11/4+N11/4+3*(O11-2)</f>
      </c>
      <c r="T11" s="21" t="inlineStr">
        <is>
          <t xml:space="preserve">Profilo evasivo standard.</t>
        </is>
      </c>
    </row>
    <row r="12" ht="30" customHeight="1">
      <c r="A12" s="15">
        <v>1</v>
      </c>
      <c r="B12" s="18" t="inlineStr">
        <is>
          <t xml:space="preserve">Draghetto Arcobaleno (2a stampa)</t>
        </is>
      </c>
      <c r="C12" s="12" t="inlineStr">
        <is>
          <t xml:space="preserve">Marbion</t>
        </is>
      </c>
      <c r="D12" s="12" t="inlineStr">
        <is>
          <t xml:space="preserve">evasivo</t>
        </is>
      </c>
      <c r="E12" s="12" t="inlineStr">
        <is>
          <t xml:space="preserve">evasivo</t>
        </is>
      </c>
      <c r="F12" s="12" t="inlineStr">
        <is>
          <t xml:space="preserve">Effimeri</t>
        </is>
      </c>
      <c r="G12" s="12" t="inlineStr">
        <is>
          <t xml:space="preserve">Effimeri</t>
        </is>
      </c>
      <c r="H12" s="15">
        <v>8</v>
      </c>
      <c r="I12" s="15">
        <v>3</v>
      </c>
      <c r="J12" s="15">
        <v>9</v>
      </c>
      <c r="K12" s="15">
        <v>2</v>
      </c>
      <c r="L12" s="34">
        <v>7</v>
      </c>
      <c r="M12" s="34">
        <v>3</v>
      </c>
      <c r="N12" s="34">
        <v>8</v>
      </c>
      <c r="O12" s="34">
        <v>3</v>
      </c>
      <c r="P12" s="37" t="inlineStr">
        <is>
          <t xml:space="preserve">-1</t>
        </is>
      </c>
      <c r="Q12" s="38" t="inlineStr">
        <is>
          <t xml:space="preserve">+0</t>
        </is>
      </c>
      <c r="R12" s="37" t="inlineStr">
        <is>
          <t xml:space="preserve">-1</t>
        </is>
      </c>
      <c r="S12" s="24">
        <f>L12+M12/4+N12/4+3*(O12-2)</f>
      </c>
      <c r="T12" s="21" t="inlineStr">
        <is>
          <t xml:space="preserve">Identica alla prima stampa.</t>
        </is>
      </c>
    </row>
    <row r="13" ht="30" customHeight="1">
      <c r="A13" s="15">
        <v>1</v>
      </c>
      <c r="B13" s="18" t="inlineStr">
        <is>
          <t xml:space="preserve">Esploratore Gallerie</t>
        </is>
      </c>
      <c r="C13" s="12" t="inlineStr">
        <is>
          <t xml:space="preserve">Frost Land</t>
        </is>
      </c>
      <c r="D13" s="12" t="inlineStr">
        <is>
          <t xml:space="preserve">evasivo</t>
        </is>
      </c>
      <c r="E13" s="12" t="inlineStr">
        <is>
          <t xml:space="preserve">evasivo</t>
        </is>
      </c>
      <c r="F13" s="12" t="inlineStr">
        <is>
          <t xml:space="preserve">Effimeri</t>
        </is>
      </c>
      <c r="G13" s="12" t="inlineStr">
        <is>
          <t xml:space="preserve">Effimeri</t>
        </is>
      </c>
      <c r="H13" s="15">
        <v>10</v>
      </c>
      <c r="I13" s="15">
        <v>2</v>
      </c>
      <c r="J13" s="15">
        <v>9</v>
      </c>
      <c r="K13" s="15">
        <v>2</v>
      </c>
      <c r="L13" s="34">
        <v>7</v>
      </c>
      <c r="M13" s="34">
        <v>2</v>
      </c>
      <c r="N13" s="34">
        <v>7</v>
      </c>
      <c r="O13" s="34">
        <v>3</v>
      </c>
      <c r="P13" s="37" t="inlineStr">
        <is>
          <t xml:space="preserve">-3</t>
        </is>
      </c>
      <c r="Q13" s="38" t="inlineStr">
        <is>
          <t xml:space="preserve">+0</t>
        </is>
      </c>
      <c r="R13" s="37" t="inlineStr">
        <is>
          <t xml:space="preserve">-2</t>
        </is>
      </c>
      <c r="S13" s="24">
        <f>L13+M13/4+N13/4+3*(O13-2)</f>
      </c>
      <c r="T13" s="21" t="inlineStr">
        <is>
          <t xml:space="preserve">Come sopra.</t>
        </is>
      </c>
    </row>
    <row r="14" ht="30" customHeight="1">
      <c r="A14" s="15">
        <v>1</v>
      </c>
      <c r="B14" s="18" t="inlineStr">
        <is>
          <t xml:space="preserve">Piccolo Goblin</t>
        </is>
      </c>
      <c r="C14" s="12" t="inlineStr">
        <is>
          <t xml:space="preserve">Frost Land</t>
        </is>
      </c>
      <c r="D14" s="12" t="inlineStr">
        <is>
          <t xml:space="preserve">evasivo</t>
        </is>
      </c>
      <c r="E14" s="12" t="inlineStr">
        <is>
          <t xml:space="preserve">evasivo</t>
        </is>
      </c>
      <c r="F14" s="12" t="inlineStr">
        <is>
          <t xml:space="preserve">Effimeri</t>
        </is>
      </c>
      <c r="G14" s="12" t="inlineStr">
        <is>
          <t xml:space="preserve">Effimeri</t>
        </is>
      </c>
      <c r="H14" s="15">
        <v>10</v>
      </c>
      <c r="I14" s="15">
        <v>2</v>
      </c>
      <c r="J14" s="15">
        <v>9</v>
      </c>
      <c r="K14" s="15">
        <v>2</v>
      </c>
      <c r="L14" s="34">
        <v>7</v>
      </c>
      <c r="M14" s="34">
        <v>2</v>
      </c>
      <c r="N14" s="34">
        <v>7</v>
      </c>
      <c r="O14" s="34">
        <v>3</v>
      </c>
      <c r="P14" s="37" t="inlineStr">
        <is>
          <t xml:space="preserve">-3</t>
        </is>
      </c>
      <c r="Q14" s="38" t="inlineStr">
        <is>
          <t xml:space="preserve">+0</t>
        </is>
      </c>
      <c r="R14" s="37" t="inlineStr">
        <is>
          <t xml:space="preserve">-2</t>
        </is>
      </c>
      <c r="S14" s="24">
        <f>L14+M14/4+N14/4+3*(O14-2)</f>
      </c>
      <c r="T14" s="21" t="inlineStr">
        <is>
          <t xml:space="preserve">Il 3o attacco diventa il tratto dell'evasivo. Attacco ridotto per pagarlo (1 attacco = 3 punti).</t>
        </is>
      </c>
    </row>
    <row r="15" ht="30" customHeight="1">
      <c r="A15" s="15">
        <v>1</v>
      </c>
      <c r="B15" s="18" t="inlineStr">
        <is>
          <t xml:space="preserve">Cervo Luminoso</t>
        </is>
      </c>
      <c r="C15" s="12" t="inlineStr">
        <is>
          <t xml:space="preserve">Marbion</t>
        </is>
      </c>
      <c r="D15" s="12" t="inlineStr">
        <is>
          <t xml:space="preserve">evasivo</t>
        </is>
      </c>
      <c r="E15" s="12" t="inlineStr">
        <is>
          <t xml:space="preserve">evasivo</t>
        </is>
      </c>
      <c r="F15" s="12" t="inlineStr">
        <is>
          <t xml:space="preserve">Effimeri</t>
        </is>
      </c>
      <c r="G15" s="12" t="inlineStr">
        <is>
          <t xml:space="preserve">Effimeri</t>
        </is>
      </c>
      <c r="H15" s="15">
        <v>9</v>
      </c>
      <c r="I15" s="15">
        <v>3</v>
      </c>
      <c r="J15" s="15">
        <v>10</v>
      </c>
      <c r="K15" s="15">
        <v>2</v>
      </c>
      <c r="L15" s="34">
        <v>6</v>
      </c>
      <c r="M15" s="34">
        <v>3</v>
      </c>
      <c r="N15" s="34">
        <v>9</v>
      </c>
      <c r="O15" s="34">
        <v>3</v>
      </c>
      <c r="P15" s="37" t="inlineStr">
        <is>
          <t xml:space="preserve">-3</t>
        </is>
      </c>
      <c r="Q15" s="38" t="inlineStr">
        <is>
          <t xml:space="preserve">+0</t>
        </is>
      </c>
      <c r="R15" s="37" t="inlineStr">
        <is>
          <t xml:space="preserve">-1</t>
        </is>
      </c>
      <c r="S15" s="24">
        <f>L15+M15/4+N15/4+3*(O15-2)</f>
      </c>
      <c r="T15" s="21" t="inlineStr">
        <is>
          <t xml:space="preserve">Annulla il primo attacco subito ogni turno: Vita alta fra gli evasivi, Attacco basso.</t>
        </is>
      </c>
    </row>
    <row r="16" ht="30" customHeight="1">
      <c r="A16" s="15">
        <v>1</v>
      </c>
      <c r="B16" s="18" t="inlineStr">
        <is>
          <t xml:space="preserve">Coleottero Prisma</t>
        </is>
      </c>
      <c r="C16" s="12" t="inlineStr">
        <is>
          <t xml:space="preserve">Marbion</t>
        </is>
      </c>
      <c r="D16" s="12" t="inlineStr">
        <is>
          <t xml:space="preserve">evasivo</t>
        </is>
      </c>
      <c r="E16" s="12" t="inlineStr">
        <is>
          <t xml:space="preserve">evasivo</t>
        </is>
      </c>
      <c r="F16" s="12" t="inlineStr">
        <is>
          <t xml:space="preserve">Effimeri</t>
        </is>
      </c>
      <c r="G16" s="12" t="inlineStr">
        <is>
          <t xml:space="preserve">Effimeri</t>
        </is>
      </c>
      <c r="H16" s="15">
        <v>10</v>
      </c>
      <c r="I16" s="15">
        <v>2</v>
      </c>
      <c r="J16" s="15">
        <v>9</v>
      </c>
      <c r="K16" s="15">
        <v>2</v>
      </c>
      <c r="L16" s="34">
        <v>6</v>
      </c>
      <c r="M16" s="34">
        <v>2</v>
      </c>
      <c r="N16" s="34">
        <v>9</v>
      </c>
      <c r="O16" s="34">
        <v>3</v>
      </c>
      <c r="P16" s="37" t="inlineStr">
        <is>
          <t xml:space="preserve">-4</t>
        </is>
      </c>
      <c r="Q16" s="38" t="inlineStr">
        <is>
          <t xml:space="preserve">+0</t>
        </is>
      </c>
      <c r="R16" s="38" t="inlineStr">
        <is>
          <t xml:space="preserve">+0</t>
        </is>
      </c>
      <c r="S16" s="24">
        <f>L16+M16/4+N16/4+3*(O16-2)</f>
      </c>
      <c r="T16" s="21" t="inlineStr">
        <is>
          <t xml:space="preserve">Guadagna +2 Attacco permanenti ogni turno: base bassa, altrimenti scappa via.</t>
        </is>
      </c>
    </row>
    <row r="17" ht="30" customHeight="1">
      <c r="A17" s="15">
        <v>1</v>
      </c>
      <c r="B17" s="18" t="inlineStr">
        <is>
          <t xml:space="preserve">Farfalla Inebriante di Marbion</t>
        </is>
      </c>
      <c r="C17" s="12" t="inlineStr">
        <is>
          <t xml:space="preserve">Marbion</t>
        </is>
      </c>
      <c r="D17" s="12" t="inlineStr">
        <is>
          <t xml:space="preserve">evasivo</t>
        </is>
      </c>
      <c r="E17" s="12" t="inlineStr">
        <is>
          <t xml:space="preserve">evasivo</t>
        </is>
      </c>
      <c r="F17" s="12" t="inlineStr">
        <is>
          <t xml:space="preserve">Effimeri</t>
        </is>
      </c>
      <c r="G17" s="12" t="inlineStr">
        <is>
          <t xml:space="preserve">Effimeri</t>
        </is>
      </c>
      <c r="H17" s="15">
        <v>8</v>
      </c>
      <c r="I17" s="15">
        <v>3</v>
      </c>
      <c r="J17" s="15">
        <v>10</v>
      </c>
      <c r="K17" s="15">
        <v>2</v>
      </c>
      <c r="L17" s="34">
        <v>6</v>
      </c>
      <c r="M17" s="34">
        <v>2</v>
      </c>
      <c r="N17" s="34">
        <v>9</v>
      </c>
      <c r="O17" s="34">
        <v>3</v>
      </c>
      <c r="P17" s="37" t="inlineStr">
        <is>
          <t xml:space="preserve">-2</t>
        </is>
      </c>
      <c r="Q17" s="37" t="inlineStr">
        <is>
          <t xml:space="preserve">-1</t>
        </is>
      </c>
      <c r="R17" s="37" t="inlineStr">
        <is>
          <t xml:space="preserve">-1</t>
        </is>
      </c>
      <c r="S17" s="24">
        <f>L17+M17/4+N17/4+3*(O17-2)</f>
      </c>
      <c r="T17" s="21" t="inlineStr">
        <is>
          <t xml:space="preserve">Attacco distanziato verso il basso.</t>
        </is>
      </c>
    </row>
    <row r="18" ht="30" customHeight="1">
      <c r="A18" s="15">
        <v>1</v>
      </c>
      <c r="B18" s="18" t="inlineStr">
        <is>
          <t xml:space="preserve">Cucciolo di Lince Petalosa</t>
        </is>
      </c>
      <c r="C18" s="12" t="inlineStr">
        <is>
          <t xml:space="preserve">Marbion</t>
        </is>
      </c>
      <c r="D18" s="12" t="inlineStr">
        <is>
          <t xml:space="preserve">evasivo</t>
        </is>
      </c>
      <c r="E18" s="12" t="inlineStr">
        <is>
          <t xml:space="preserve">evasivo</t>
        </is>
      </c>
      <c r="F18" s="12" t="inlineStr">
        <is>
          <t xml:space="preserve">Effimeri</t>
        </is>
      </c>
      <c r="G18" s="12" t="inlineStr">
        <is>
          <t xml:space="preserve">Effimeri</t>
        </is>
      </c>
      <c r="H18" s="15">
        <v>6</v>
      </c>
      <c r="I18" s="15">
        <v>2</v>
      </c>
      <c r="J18" s="15">
        <v>7</v>
      </c>
      <c r="K18" s="15">
        <v>2</v>
      </c>
      <c r="L18" s="34">
        <v>5</v>
      </c>
      <c r="M18" s="34">
        <v>2</v>
      </c>
      <c r="N18" s="34">
        <v>8</v>
      </c>
      <c r="O18" s="34">
        <v>3</v>
      </c>
      <c r="P18" s="37" t="inlineStr">
        <is>
          <t xml:space="preserve">-1</t>
        </is>
      </c>
      <c r="Q18" s="38" t="inlineStr">
        <is>
          <t xml:space="preserve">+0</t>
        </is>
      </c>
      <c r="R18" s="36" t="inlineStr">
        <is>
          <t xml:space="preserve">+1</t>
        </is>
      </c>
      <c r="S18" s="24">
        <f>L18+M18/4+N18/4+3*(O18-2)</f>
      </c>
      <c r="T18" s="21" t="inlineStr">
        <is>
          <t xml:space="preserve">Carta-esca che alimenta Lince Petalosa Protettiva: deve sopravvivere, non colpire.</t>
        </is>
      </c>
    </row>
    <row r="19" ht="30" customHeight="1">
      <c r="A19" s="15">
        <v>1</v>
      </c>
      <c r="B19" s="18" t="inlineStr">
        <is>
          <t xml:space="preserve">Verme del Riciclo</t>
        </is>
      </c>
      <c r="C19" s="12" t="inlineStr">
        <is>
          <t xml:space="preserve">Marbion</t>
        </is>
      </c>
      <c r="D19" s="12" t="inlineStr">
        <is>
          <t xml:space="preserve">evasivo</t>
        </is>
      </c>
      <c r="E19" s="12" t="inlineStr">
        <is>
          <t xml:space="preserve">evasivo</t>
        </is>
      </c>
      <c r="F19" s="12" t="inlineStr">
        <is>
          <t xml:space="preserve">Effimeri</t>
        </is>
      </c>
      <c r="G19" s="12" t="inlineStr">
        <is>
          <t xml:space="preserve">Effimeri</t>
        </is>
      </c>
      <c r="H19" s="15">
        <v>4</v>
      </c>
      <c r="I19" s="15">
        <v>2</v>
      </c>
      <c r="J19" s="15">
        <v>5</v>
      </c>
      <c r="K19" s="15">
        <v>2</v>
      </c>
      <c r="L19" s="34">
        <v>5</v>
      </c>
      <c r="M19" s="34">
        <v>1</v>
      </c>
      <c r="N19" s="34">
        <v>6</v>
      </c>
      <c r="O19" s="34">
        <v>3</v>
      </c>
      <c r="P19" s="36" t="inlineStr">
        <is>
          <t xml:space="preserve">+1</t>
        </is>
      </c>
      <c r="Q19" s="37" t="inlineStr">
        <is>
          <t xml:space="preserve">-1</t>
        </is>
      </c>
      <c r="R19" s="36" t="inlineStr">
        <is>
          <t xml:space="preserve">+1</t>
        </is>
      </c>
      <c r="S19" s="24">
        <f>L19+M19/4+N19/4+3*(O19-2)</f>
      </c>
      <c r="T19" s="21" t="inlineStr">
        <is>
          <t xml:space="preserve">La piu' fragile del gioco, ma ora ha 3 attacchi: da inerte a fastidiosa.</t>
        </is>
      </c>
    </row>
    <row r="20" ht="30" customHeight="1">
      <c r="A20" s="15">
        <v>1</v>
      </c>
      <c r="B20" s="18" t="inlineStr">
        <is>
          <t xml:space="preserve">Soldato dell'Esercito di Marbion</t>
        </is>
      </c>
      <c r="C20" s="12" t="inlineStr">
        <is>
          <t xml:space="preserve">Marbion</t>
        </is>
      </c>
      <c r="D20" s="12" t="inlineStr">
        <is>
          <t xml:space="preserve">bilanciato</t>
        </is>
      </c>
      <c r="E20" s="12" t="inlineStr">
        <is>
          <t xml:space="preserve">bilanciato</t>
        </is>
      </c>
      <c r="F20" s="12" t="inlineStr">
        <is>
          <t xml:space="preserve">Viandante</t>
        </is>
      </c>
      <c r="G20" s="12" t="inlineStr">
        <is>
          <t xml:space="preserve">Viandante</t>
        </is>
      </c>
      <c r="H20" s="15">
        <v>11</v>
      </c>
      <c r="I20" s="15">
        <v>3</v>
      </c>
      <c r="J20" s="15">
        <v>10</v>
      </c>
      <c r="K20" s="15">
        <v>2</v>
      </c>
      <c r="L20" s="34">
        <v>9</v>
      </c>
      <c r="M20" s="34">
        <v>4</v>
      </c>
      <c r="N20" s="34">
        <v>11</v>
      </c>
      <c r="O20" s="34">
        <v>2</v>
      </c>
      <c r="P20" s="37" t="inlineStr">
        <is>
          <t xml:space="preserve">-2</t>
        </is>
      </c>
      <c r="Q20" s="36" t="inlineStr">
        <is>
          <t xml:space="preserve">+1</t>
        </is>
      </c>
      <c r="R20" s="36" t="inlineStr">
        <is>
          <t xml:space="preserve">+1</t>
        </is>
      </c>
      <c r="S20" s="24">
        <f>L20+M20/4+N20/4+3*(O20-2)</f>
      </c>
      <c r="T20" s="21" t="inlineStr">
        <is>
          <t xml:space="preserve">Profilo bilanciato: nessuna statistica agli estremi. Attacco 11-&gt;9 (era da aggressore).</t>
        </is>
      </c>
    </row>
    <row r="21" ht="30" customHeight="1">
      <c r="A21" s="15">
        <v>1</v>
      </c>
      <c r="B21" s="18" t="inlineStr">
        <is>
          <t xml:space="preserve">Manipolatrice Blu</t>
        </is>
      </c>
      <c r="C21" s="12" t="inlineStr">
        <is>
          <t xml:space="preserve">Marbion</t>
        </is>
      </c>
      <c r="D21" s="12" t="inlineStr">
        <is>
          <t xml:space="preserve">bilanciato</t>
        </is>
      </c>
      <c r="E21" s="12" t="inlineStr">
        <is>
          <t xml:space="preserve">bilanciato</t>
        </is>
      </c>
      <c r="F21" s="12" t="inlineStr">
        <is>
          <t xml:space="preserve">Tessitore</t>
        </is>
      </c>
      <c r="G21" s="12" t="inlineStr">
        <is>
          <t xml:space="preserve">Tessitore</t>
        </is>
      </c>
      <c r="H21" s="15">
        <v>9</v>
      </c>
      <c r="I21" s="15">
        <v>6</v>
      </c>
      <c r="J21" s="15">
        <v>13</v>
      </c>
      <c r="K21" s="15">
        <v>2</v>
      </c>
      <c r="L21" s="34">
        <v>8</v>
      </c>
      <c r="M21" s="34">
        <v>5</v>
      </c>
      <c r="N21" s="34">
        <v>12</v>
      </c>
      <c r="O21" s="34">
        <v>2</v>
      </c>
      <c r="P21" s="37" t="inlineStr">
        <is>
          <t xml:space="preserve">-1</t>
        </is>
      </c>
      <c r="Q21" s="37" t="inlineStr">
        <is>
          <t xml:space="preserve">-1</t>
        </is>
      </c>
      <c r="R21" s="37" t="inlineStr">
        <is>
          <t xml:space="preserve">-1</t>
        </is>
      </c>
      <c r="S21" s="24">
        <f>L21+M21/4+N21/4+3*(O21-2)</f>
      </c>
      <c r="T21" s="21" t="inlineStr">
        <is>
          <t xml:space="preserve">Profilo bilanciato base.</t>
        </is>
      </c>
    </row>
    <row r="22" ht="30" customHeight="1">
      <c r="A22" s="15">
        <v>1</v>
      </c>
      <c r="B22" s="18" t="inlineStr">
        <is>
          <t xml:space="preserve">Manipolatrice Viola</t>
        </is>
      </c>
      <c r="C22" s="12" t="inlineStr">
        <is>
          <t xml:space="preserve">Marbion</t>
        </is>
      </c>
      <c r="D22" s="12" t="inlineStr">
        <is>
          <t xml:space="preserve">bilanciato</t>
        </is>
      </c>
      <c r="E22" s="12" t="inlineStr">
        <is>
          <t xml:space="preserve">bilanciato</t>
        </is>
      </c>
      <c r="F22" s="12" t="inlineStr">
        <is>
          <t xml:space="preserve">Tessitore</t>
        </is>
      </c>
      <c r="G22" s="12" t="inlineStr">
        <is>
          <t xml:space="preserve">Tessitore</t>
        </is>
      </c>
      <c r="H22" s="15">
        <v>9</v>
      </c>
      <c r="I22" s="15">
        <v>6</v>
      </c>
      <c r="J22" s="15">
        <v>13</v>
      </c>
      <c r="K22" s="15">
        <v>2</v>
      </c>
      <c r="L22" s="34">
        <v>8</v>
      </c>
      <c r="M22" s="34">
        <v>5</v>
      </c>
      <c r="N22" s="34">
        <v>12</v>
      </c>
      <c r="O22" s="34">
        <v>2</v>
      </c>
      <c r="P22" s="37" t="inlineStr">
        <is>
          <t xml:space="preserve">-1</t>
        </is>
      </c>
      <c r="Q22" s="37" t="inlineStr">
        <is>
          <t xml:space="preserve">-1</t>
        </is>
      </c>
      <c r="R22" s="37" t="inlineStr">
        <is>
          <t xml:space="preserve">-1</t>
        </is>
      </c>
      <c r="S22" s="24">
        <f>L22+M22/4+N22/4+3*(O22-2)</f>
      </c>
      <c r="T22" s="21" t="inlineStr">
        <is>
          <t xml:space="preserve">Profilo bilanciato base.</t>
        </is>
      </c>
    </row>
    <row r="23" ht="30" customHeight="1">
      <c r="A23" s="15">
        <v>1</v>
      </c>
      <c r="B23" s="18" t="inlineStr">
        <is>
          <t xml:space="preserve">Pedina di Midollo</t>
        </is>
      </c>
      <c r="C23" s="12" t="inlineStr">
        <is>
          <t xml:space="preserve">Marbion</t>
        </is>
      </c>
      <c r="D23" s="12" t="inlineStr">
        <is>
          <t xml:space="preserve">bilanciato</t>
        </is>
      </c>
      <c r="E23" s="12" t="inlineStr">
        <is>
          <t xml:space="preserve">bilanciato</t>
        </is>
      </c>
      <c r="F23" s="12" t="inlineStr">
        <is>
          <t xml:space="preserve">Tessitore</t>
        </is>
      </c>
      <c r="G23" s="12" t="inlineStr">
        <is>
          <t xml:space="preserve">Tessitore</t>
        </is>
      </c>
      <c r="H23" s="15">
        <v>9</v>
      </c>
      <c r="I23" s="15">
        <v>6</v>
      </c>
      <c r="J23" s="15">
        <v>13</v>
      </c>
      <c r="K23" s="15">
        <v>2</v>
      </c>
      <c r="L23" s="34">
        <v>8</v>
      </c>
      <c r="M23" s="34">
        <v>6</v>
      </c>
      <c r="N23" s="34">
        <v>13</v>
      </c>
      <c r="O23" s="34">
        <v>2</v>
      </c>
      <c r="P23" s="37" t="inlineStr">
        <is>
          <t xml:space="preserve">-1</t>
        </is>
      </c>
      <c r="Q23" s="38" t="inlineStr">
        <is>
          <t xml:space="preserve">+0</t>
        </is>
      </c>
      <c r="R23" s="38" t="inlineStr">
        <is>
          <t xml:space="preserve">+0</t>
        </is>
      </c>
      <c r="S23" s="24">
        <f>L23+M23/4+N23/4+3*(O23-2)</f>
      </c>
      <c r="T23" s="21" t="inlineStr">
        <is>
          <t xml:space="preserve">Cresce col cimitero: profilo leggermente piu' resistente.</t>
        </is>
      </c>
    </row>
    <row r="24" ht="30" customHeight="1">
      <c r="A24" s="15">
        <v>1</v>
      </c>
      <c r="B24" s="18" t="inlineStr">
        <is>
          <t xml:space="preserve">Cavaliere di Marbion</t>
        </is>
      </c>
      <c r="C24" s="12" t="inlineStr">
        <is>
          <t xml:space="preserve">Marbion</t>
        </is>
      </c>
      <c r="D24" s="12" t="inlineStr">
        <is>
          <t xml:space="preserve">bilanciato</t>
        </is>
      </c>
      <c r="E24" s="12" t="inlineStr">
        <is>
          <t xml:space="preserve">bilanciato</t>
        </is>
      </c>
      <c r="F24" s="12" t="inlineStr">
        <is>
          <t xml:space="preserve">Viandante</t>
        </is>
      </c>
      <c r="G24" s="12" t="inlineStr">
        <is>
          <t xml:space="preserve">Viandante</t>
        </is>
      </c>
      <c r="H24" s="15">
        <v>7</v>
      </c>
      <c r="I24" s="15">
        <v>7</v>
      </c>
      <c r="J24" s="15">
        <v>13</v>
      </c>
      <c r="K24" s="15">
        <v>2</v>
      </c>
      <c r="L24" s="34">
        <v>7</v>
      </c>
      <c r="M24" s="34">
        <v>6</v>
      </c>
      <c r="N24" s="34">
        <v>14</v>
      </c>
      <c r="O24" s="34">
        <v>2</v>
      </c>
      <c r="P24" s="38" t="inlineStr">
        <is>
          <t xml:space="preserve">+0</t>
        </is>
      </c>
      <c r="Q24" s="37" t="inlineStr">
        <is>
          <t xml:space="preserve">-1</t>
        </is>
      </c>
      <c r="R24" s="36" t="inlineStr">
        <is>
          <t xml:space="preserve">+1</t>
        </is>
      </c>
      <c r="S24" s="24">
        <f>L24+M24/4+N24/4+3*(O24-2)</f>
      </c>
      <c r="T24" s="21" t="inlineStr">
        <is>
          <t xml:space="preserve">Truppa base senza effetto: il bilanciato piu' difensivo.</t>
        </is>
      </c>
    </row>
    <row r="25" ht="30" customHeight="1">
      <c r="A25" s="15">
        <v>1</v>
      </c>
      <c r="B25" s="18" t="inlineStr">
        <is>
          <t xml:space="preserve">Manipolatore di Strumenti</t>
        </is>
      </c>
      <c r="C25" s="12" t="inlineStr">
        <is>
          <t xml:space="preserve">Marbion</t>
        </is>
      </c>
      <c r="D25" s="12" t="inlineStr">
        <is>
          <t xml:space="preserve">supporto</t>
        </is>
      </c>
      <c r="E25" s="12" t="inlineStr">
        <is>
          <t xml:space="preserve">supporto</t>
        </is>
      </c>
      <c r="F25" s="12" t="inlineStr">
        <is>
          <t xml:space="preserve">Viandante</t>
        </is>
      </c>
      <c r="G25" s="12" t="inlineStr">
        <is>
          <t xml:space="preserve">Viandante</t>
        </is>
      </c>
      <c r="H25" s="15">
        <v>9</v>
      </c>
      <c r="I25" s="15">
        <v>6</v>
      </c>
      <c r="J25" s="15">
        <v>11</v>
      </c>
      <c r="K25" s="15">
        <v>2</v>
      </c>
      <c r="L25" s="34">
        <v>7</v>
      </c>
      <c r="M25" s="34">
        <v>7</v>
      </c>
      <c r="N25" s="34">
        <v>13</v>
      </c>
      <c r="O25" s="34">
        <v>2</v>
      </c>
      <c r="P25" s="37" t="inlineStr">
        <is>
          <t xml:space="preserve">-2</t>
        </is>
      </c>
      <c r="Q25" s="36" t="inlineStr">
        <is>
          <t xml:space="preserve">+1</t>
        </is>
      </c>
      <c r="R25" s="36" t="inlineStr">
        <is>
          <t xml:space="preserve">+2</t>
        </is>
      </c>
      <c r="S25" s="24">
        <f>L25+M25/4+N25/4+3*(O25-2)</f>
      </c>
      <c r="T25" s="21" t="inlineStr">
        <is>
          <t xml:space="preserve">Profilo supporto: Attacco medio-basso, Parata e Vita sopra la media.</t>
        </is>
      </c>
    </row>
    <row r="26" ht="30" customHeight="1">
      <c r="A26" s="15">
        <v>1</v>
      </c>
      <c r="B26" s="18" t="inlineStr">
        <is>
          <t xml:space="preserve">Amico di Marbion</t>
        </is>
      </c>
      <c r="C26" s="12" t="inlineStr">
        <is>
          <t xml:space="preserve">Marbion</t>
        </is>
      </c>
      <c r="D26" s="12" t="inlineStr">
        <is>
          <t xml:space="preserve">supporto</t>
        </is>
      </c>
      <c r="E26" s="12" t="inlineStr">
        <is>
          <t xml:space="preserve">supporto</t>
        </is>
      </c>
      <c r="F26" s="12" t="inlineStr">
        <is>
          <t xml:space="preserve">Viandante</t>
        </is>
      </c>
      <c r="G26" s="12" t="inlineStr">
        <is>
          <t xml:space="preserve">Viandante</t>
        </is>
      </c>
      <c r="H26" s="15">
        <v>5</v>
      </c>
      <c r="I26" s="15">
        <v>8</v>
      </c>
      <c r="J26" s="15">
        <v>12</v>
      </c>
      <c r="K26" s="15">
        <v>2</v>
      </c>
      <c r="L26" s="34">
        <v>6</v>
      </c>
      <c r="M26" s="34">
        <v>8</v>
      </c>
      <c r="N26" s="34">
        <v>14</v>
      </c>
      <c r="O26" s="34">
        <v>2</v>
      </c>
      <c r="P26" s="36" t="inlineStr">
        <is>
          <t xml:space="preserve">+1</t>
        </is>
      </c>
      <c r="Q26" s="38" t="inlineStr">
        <is>
          <t xml:space="preserve">+0</t>
        </is>
      </c>
      <c r="R26" s="36" t="inlineStr">
        <is>
          <t xml:space="preserve">+2</t>
        </is>
      </c>
      <c r="S26" s="24">
        <f>L26+M26/4+N26/4+3*(O26-2)</f>
      </c>
      <c r="T26" s="21" t="inlineStr">
        <is>
          <t xml:space="preserve">Profilo supporto base. Parata gia' al tetto del livello (8).</t>
        </is>
      </c>
    </row>
    <row r="27" ht="30" customHeight="1">
      <c r="A27" s="15">
        <v>1</v>
      </c>
      <c r="B27" s="18" t="inlineStr">
        <is>
          <t xml:space="preserve">Artigiano Potente</t>
        </is>
      </c>
      <c r="C27" s="12" t="inlineStr">
        <is>
          <t xml:space="preserve">Marbion</t>
        </is>
      </c>
      <c r="D27" s="12" t="inlineStr">
        <is>
          <t xml:space="preserve">supporto</t>
        </is>
      </c>
      <c r="E27" s="12" t="inlineStr">
        <is>
          <t xml:space="preserve">supporto</t>
        </is>
      </c>
      <c r="F27" s="12" t="inlineStr">
        <is>
          <t xml:space="preserve">Viandante</t>
        </is>
      </c>
      <c r="G27" s="12" t="inlineStr">
        <is>
          <t xml:space="preserve">Viandante</t>
        </is>
      </c>
      <c r="H27" s="15">
        <v>5</v>
      </c>
      <c r="I27" s="15">
        <v>8</v>
      </c>
      <c r="J27" s="15">
        <v>12</v>
      </c>
      <c r="K27" s="15">
        <v>2</v>
      </c>
      <c r="L27" s="34">
        <v>6</v>
      </c>
      <c r="M27" s="34">
        <v>8</v>
      </c>
      <c r="N27" s="34">
        <v>14</v>
      </c>
      <c r="O27" s="34">
        <v>2</v>
      </c>
      <c r="P27" s="36" t="inlineStr">
        <is>
          <t xml:space="preserve">+1</t>
        </is>
      </c>
      <c r="Q27" s="38" t="inlineStr">
        <is>
          <t xml:space="preserve">+0</t>
        </is>
      </c>
      <c r="R27" s="36" t="inlineStr">
        <is>
          <t xml:space="preserve">+2</t>
        </is>
      </c>
      <c r="S27" s="24">
        <f>L27+M27/4+N27/4+3*(O27-2)</f>
      </c>
      <c r="T27" s="21" t="inlineStr">
        <is>
          <t xml:space="preserve">Profilo supporto base.</t>
        </is>
      </c>
    </row>
    <row r="28" ht="30" customHeight="1">
      <c r="A28" s="15">
        <v>1</v>
      </c>
      <c r="B28" s="18" t="inlineStr">
        <is>
          <t xml:space="preserve">Servitore di Marbion</t>
        </is>
      </c>
      <c r="C28" s="12" t="inlineStr">
        <is>
          <t xml:space="preserve">Marbion</t>
        </is>
      </c>
      <c r="D28" s="12" t="inlineStr">
        <is>
          <t xml:space="preserve">supporto</t>
        </is>
      </c>
      <c r="E28" s="12" t="inlineStr">
        <is>
          <t xml:space="preserve">supporto</t>
        </is>
      </c>
      <c r="F28" s="12" t="inlineStr">
        <is>
          <t xml:space="preserve">Viandante</t>
        </is>
      </c>
      <c r="G28" s="12" t="inlineStr">
        <is>
          <t xml:space="preserve">Viandante</t>
        </is>
      </c>
      <c r="H28" s="15">
        <v>5</v>
      </c>
      <c r="I28" s="15">
        <v>7</v>
      </c>
      <c r="J28" s="15">
        <v>11</v>
      </c>
      <c r="K28" s="15">
        <v>2</v>
      </c>
      <c r="L28" s="34">
        <v>6</v>
      </c>
      <c r="M28" s="34">
        <v>7</v>
      </c>
      <c r="N28" s="34">
        <v>14</v>
      </c>
      <c r="O28" s="34">
        <v>2</v>
      </c>
      <c r="P28" s="36" t="inlineStr">
        <is>
          <t xml:space="preserve">+1</t>
        </is>
      </c>
      <c r="Q28" s="38" t="inlineStr">
        <is>
          <t xml:space="preserve">+0</t>
        </is>
      </c>
      <c r="R28" s="36" t="inlineStr">
        <is>
          <t xml:space="preserve">+3</t>
        </is>
      </c>
      <c r="S28" s="24">
        <f>L28+M28/4+N28/4+3*(O28-2)</f>
      </c>
      <c r="T28" s="21" t="inlineStr">
        <is>
          <t xml:space="preserve">Profilo supporto standard.</t>
        </is>
      </c>
    </row>
    <row r="29" ht="30" customHeight="1">
      <c r="A29" s="15">
        <v>1</v>
      </c>
      <c r="B29" s="18" t="inlineStr">
        <is>
          <t xml:space="preserve">Diplomatico Aureo</t>
        </is>
      </c>
      <c r="C29" s="12" t="inlineStr">
        <is>
          <t xml:space="preserve">Marbion</t>
        </is>
      </c>
      <c r="D29" s="12" t="inlineStr">
        <is>
          <t xml:space="preserve">supporto</t>
        </is>
      </c>
      <c r="E29" s="12" t="inlineStr">
        <is>
          <t xml:space="preserve">supporto</t>
        </is>
      </c>
      <c r="F29" s="12" t="inlineStr">
        <is>
          <t xml:space="preserve">Viandante</t>
        </is>
      </c>
      <c r="G29" s="12" t="inlineStr">
        <is>
          <t xml:space="preserve">Viandante</t>
        </is>
      </c>
      <c r="H29" s="15">
        <v>5</v>
      </c>
      <c r="I29" s="15">
        <v>7</v>
      </c>
      <c r="J29" s="15">
        <v>11</v>
      </c>
      <c r="K29" s="15">
        <v>2</v>
      </c>
      <c r="L29" s="34">
        <v>5</v>
      </c>
      <c r="M29" s="34">
        <v>8</v>
      </c>
      <c r="N29" s="34">
        <v>15</v>
      </c>
      <c r="O29" s="34">
        <v>2</v>
      </c>
      <c r="P29" s="38" t="inlineStr">
        <is>
          <t xml:space="preserve">+0</t>
        </is>
      </c>
      <c r="Q29" s="36" t="inlineStr">
        <is>
          <t xml:space="preserve">+1</t>
        </is>
      </c>
      <c r="R29" s="36" t="inlineStr">
        <is>
          <t xml:space="preserve">+4</t>
        </is>
      </c>
      <c r="S29" s="24">
        <f>L29+M29/4+N29/4+3*(O29-2)</f>
      </c>
      <c r="T29" s="21" t="inlineStr">
        <is>
          <t xml:space="preserve">Coda difensiva dei supporti.</t>
        </is>
      </c>
    </row>
    <row r="30" ht="30" customHeight="1">
      <c r="A30" s="15">
        <v>1</v>
      </c>
      <c r="B30" s="18" t="inlineStr">
        <is>
          <t xml:space="preserve">Pescatore dell'Oasi</t>
        </is>
      </c>
      <c r="C30" s="12" t="inlineStr">
        <is>
          <t xml:space="preserve">Marbion</t>
        </is>
      </c>
      <c r="D30" s="12" t="inlineStr">
        <is>
          <t xml:space="preserve">supporto</t>
        </is>
      </c>
      <c r="E30" s="12" t="inlineStr">
        <is>
          <t xml:space="preserve">supporto</t>
        </is>
      </c>
      <c r="F30" s="12" t="inlineStr">
        <is>
          <t xml:space="preserve">Viandante</t>
        </is>
      </c>
      <c r="G30" s="12" t="inlineStr">
        <is>
          <t xml:space="preserve">Viandante</t>
        </is>
      </c>
      <c r="H30" s="15">
        <v>5</v>
      </c>
      <c r="I30" s="15">
        <v>7</v>
      </c>
      <c r="J30" s="15">
        <v>11</v>
      </c>
      <c r="K30" s="15">
        <v>2</v>
      </c>
      <c r="L30" s="34">
        <v>5</v>
      </c>
      <c r="M30" s="34">
        <v>8</v>
      </c>
      <c r="N30" s="34">
        <v>15</v>
      </c>
      <c r="O30" s="34">
        <v>2</v>
      </c>
      <c r="P30" s="38" t="inlineStr">
        <is>
          <t xml:space="preserve">+0</t>
        </is>
      </c>
      <c r="Q30" s="36" t="inlineStr">
        <is>
          <t xml:space="preserve">+1</t>
        </is>
      </c>
      <c r="R30" s="36" t="inlineStr">
        <is>
          <t xml:space="preserve">+4</t>
        </is>
      </c>
      <c r="S30" s="24">
        <f>L30+M30/4+N30/4+3*(O30-2)</f>
      </c>
      <c r="T30" s="21" t="inlineStr">
        <is>
          <t xml:space="preserve">Coda difensiva dei supporti.</t>
        </is>
      </c>
    </row>
    <row r="31" ht="30" customHeight="1">
      <c r="A31" s="15">
        <v>1</v>
      </c>
      <c r="B31" s="18" t="inlineStr">
        <is>
          <t xml:space="preserve">Manipolatrice Gialla</t>
        </is>
      </c>
      <c r="C31" s="12" t="inlineStr">
        <is>
          <t xml:space="preserve">Marbion</t>
        </is>
      </c>
      <c r="D31" s="12" t="inlineStr">
        <is>
          <t xml:space="preserve">difensore</t>
        </is>
      </c>
      <c r="E31" s="12" t="inlineStr">
        <is>
          <t xml:space="preserve">difensore</t>
        </is>
      </c>
      <c r="F31" s="12" t="inlineStr">
        <is>
          <t xml:space="preserve">Tessitore</t>
        </is>
      </c>
      <c r="G31" s="12" t="inlineStr">
        <is>
          <t xml:space="preserve">Tessitore</t>
        </is>
      </c>
      <c r="H31" s="15">
        <v>6</v>
      </c>
      <c r="I31" s="15">
        <v>11</v>
      </c>
      <c r="J31" s="15">
        <v>12</v>
      </c>
      <c r="K31" s="15">
        <v>2</v>
      </c>
      <c r="L31" s="34">
        <v>5</v>
      </c>
      <c r="M31" s="34">
        <v>8</v>
      </c>
      <c r="N31" s="34">
        <v>14</v>
      </c>
      <c r="O31" s="34">
        <v>2</v>
      </c>
      <c r="P31" s="37" t="inlineStr">
        <is>
          <t xml:space="preserve">-1</t>
        </is>
      </c>
      <c r="Q31" s="37" t="inlineStr">
        <is>
          <t xml:space="preserve">-3</t>
        </is>
      </c>
      <c r="R31" s="36" t="inlineStr">
        <is>
          <t xml:space="preserve">+2</t>
        </is>
      </c>
      <c r="S31" s="24">
        <f>L31+M31/4+N31/4+3*(O31-2)</f>
      </c>
      <c r="T31" s="21" t="inlineStr">
        <is>
          <t xml:space="preserve">Parata 11-&gt;8: sotto il tetto.</t>
        </is>
      </c>
    </row>
    <row r="32" ht="30" customHeight="1">
      <c r="A32" s="15">
        <v>1</v>
      </c>
      <c r="B32" s="18" t="inlineStr">
        <is>
          <t xml:space="preserve">Modellatore Ghiaccio</t>
        </is>
      </c>
      <c r="C32" s="12" t="inlineStr">
        <is>
          <t xml:space="preserve">Frost Land</t>
        </is>
      </c>
      <c r="D32" s="12" t="inlineStr">
        <is>
          <t xml:space="preserve">bilanciato</t>
        </is>
      </c>
      <c r="E32" s="27" t="inlineStr">
        <is>
          <t xml:space="preserve">difensore</t>
        </is>
      </c>
      <c r="F32" s="12" t="inlineStr">
        <is>
          <t xml:space="preserve">Colosso</t>
        </is>
      </c>
      <c r="G32" s="12" t="inlineStr">
        <is>
          <t xml:space="preserve">Colosso</t>
        </is>
      </c>
      <c r="H32" s="15">
        <v>5</v>
      </c>
      <c r="I32" s="15">
        <v>9</v>
      </c>
      <c r="J32" s="15">
        <v>17</v>
      </c>
      <c r="K32" s="15">
        <v>2</v>
      </c>
      <c r="L32" s="34">
        <v>5</v>
      </c>
      <c r="M32" s="34">
        <v>8</v>
      </c>
      <c r="N32" s="34">
        <v>14</v>
      </c>
      <c r="O32" s="34">
        <v>2</v>
      </c>
      <c r="P32" s="38" t="inlineStr">
        <is>
          <t xml:space="preserve">+0</t>
        </is>
      </c>
      <c r="Q32" s="37" t="inlineStr">
        <is>
          <t xml:space="preserve">-1</t>
        </is>
      </c>
      <c r="R32" s="37" t="inlineStr">
        <is>
          <t xml:space="preserve">-3</t>
        </is>
      </c>
      <c r="S32" s="24">
        <f>L32+M32/4+N32/4+3*(O32-2)</f>
      </c>
      <c r="T32" s="21" t="inlineStr">
        <is>
          <t xml:space="preserve">RUOLO CAMBIATO: il suo effetto da' +4 Parata a un Colosso. E' un difensore, non un bilanciato.</t>
        </is>
      </c>
    </row>
    <row r="33" ht="30" customHeight="1">
      <c r="A33" s="15">
        <v>1</v>
      </c>
      <c r="B33" s="18" t="inlineStr">
        <is>
          <t xml:space="preserve">Vecchio Domatore</t>
        </is>
      </c>
      <c r="C33" s="12" t="inlineStr">
        <is>
          <t xml:space="preserve">Marbion</t>
        </is>
      </c>
      <c r="D33" s="12" t="inlineStr">
        <is>
          <t xml:space="preserve">difensore</t>
        </is>
      </c>
      <c r="E33" s="12" t="inlineStr">
        <is>
          <t xml:space="preserve">difensore</t>
        </is>
      </c>
      <c r="F33" s="12" t="inlineStr">
        <is>
          <t xml:space="preserve">Viandante</t>
        </is>
      </c>
      <c r="G33" s="12" t="inlineStr">
        <is>
          <t xml:space="preserve">Viandante</t>
        </is>
      </c>
      <c r="H33" s="15">
        <v>4</v>
      </c>
      <c r="I33" s="15">
        <v>12</v>
      </c>
      <c r="J33" s="15">
        <v>12</v>
      </c>
      <c r="K33" s="15">
        <v>2</v>
      </c>
      <c r="L33" s="34">
        <v>5</v>
      </c>
      <c r="M33" s="34">
        <v>8</v>
      </c>
      <c r="N33" s="34">
        <v>14</v>
      </c>
      <c r="O33" s="34">
        <v>2</v>
      </c>
      <c r="P33" s="36" t="inlineStr">
        <is>
          <t xml:space="preserve">+1</t>
        </is>
      </c>
      <c r="Q33" s="37" t="inlineStr">
        <is>
          <t xml:space="preserve">-4</t>
        </is>
      </c>
      <c r="R33" s="36" t="inlineStr">
        <is>
          <t xml:space="preserve">+2</t>
        </is>
      </c>
      <c r="S33" s="24">
        <f>L33+M33/4+N33/4+3*(O33-2)</f>
      </c>
      <c r="T33" s="21" t="inlineStr">
        <is>
          <t xml:space="preserve">Parata 12-&gt;8: era SOPRA il tetto del livello, cioe' invalicabile per meta' degli aggressori. Compensata in Vita.</t>
        </is>
      </c>
    </row>
    <row r="34" ht="30" customHeight="1">
      <c r="A34" s="15">
        <v>1</v>
      </c>
      <c r="B34" s="18" t="inlineStr">
        <is>
          <t xml:space="preserve">Guardiano Glaciale</t>
        </is>
      </c>
      <c r="C34" s="12" t="inlineStr">
        <is>
          <t xml:space="preserve">Frost Land</t>
        </is>
      </c>
      <c r="D34" s="12" t="inlineStr">
        <is>
          <t xml:space="preserve">difensore</t>
        </is>
      </c>
      <c r="E34" s="12" t="inlineStr">
        <is>
          <t xml:space="preserve">difensore</t>
        </is>
      </c>
      <c r="F34" s="12" t="inlineStr">
        <is>
          <t xml:space="preserve">Colosso</t>
        </is>
      </c>
      <c r="G34" s="12" t="inlineStr">
        <is>
          <t xml:space="preserve">Colosso</t>
        </is>
      </c>
      <c r="H34" s="15">
        <v>2</v>
      </c>
      <c r="I34" s="15">
        <v>12</v>
      </c>
      <c r="J34" s="15">
        <v>16</v>
      </c>
      <c r="K34" s="15">
        <v>2</v>
      </c>
      <c r="L34" s="34">
        <v>4</v>
      </c>
      <c r="M34" s="34">
        <v>8</v>
      </c>
      <c r="N34" s="34">
        <v>16</v>
      </c>
      <c r="O34" s="34">
        <v>2</v>
      </c>
      <c r="P34" s="36" t="inlineStr">
        <is>
          <t xml:space="preserve">+2</t>
        </is>
      </c>
      <c r="Q34" s="37" t="inlineStr">
        <is>
          <t xml:space="preserve">-4</t>
        </is>
      </c>
      <c r="R34" s="38" t="inlineStr">
        <is>
          <t xml:space="preserve">+0</t>
        </is>
      </c>
      <c r="S34" s="24">
        <f>L34+M34/4+N34/4+3*(O34-2)</f>
      </c>
      <c r="T34" s="21" t="inlineStr">
        <is>
          <t xml:space="preserve">Parata 12-&gt;8 per lo stesso motivo. Ha +5 Parata condizionale stampato: 8+5=13 resta un picco raggiungibile.</t>
        </is>
      </c>
    </row>
    <row r="35" ht="30" customHeight="1">
      <c r="A35" s="15">
        <v>1</v>
      </c>
      <c r="B35" s="18" t="inlineStr">
        <is>
          <t xml:space="preserve">Mammut Glaciale</t>
        </is>
      </c>
      <c r="C35" s="12" t="inlineStr">
        <is>
          <t xml:space="preserve">Frost Land</t>
        </is>
      </c>
      <c r="D35" s="12" t="inlineStr">
        <is>
          <t xml:space="preserve">tank</t>
        </is>
      </c>
      <c r="E35" s="12" t="inlineStr">
        <is>
          <t xml:space="preserve">tank</t>
        </is>
      </c>
      <c r="F35" s="12" t="inlineStr">
        <is>
          <t xml:space="preserve">Colosso</t>
        </is>
      </c>
      <c r="G35" s="12" t="inlineStr">
        <is>
          <t xml:space="preserve">Colosso</t>
        </is>
      </c>
      <c r="H35" s="15">
        <v>2</v>
      </c>
      <c r="I35" s="15">
        <v>9</v>
      </c>
      <c r="J35" s="15">
        <v>18</v>
      </c>
      <c r="K35" s="15">
        <v>2</v>
      </c>
      <c r="L35" s="34">
        <v>4</v>
      </c>
      <c r="M35" s="34">
        <v>8</v>
      </c>
      <c r="N35" s="34">
        <v>28</v>
      </c>
      <c r="O35" s="34">
        <v>1</v>
      </c>
      <c r="P35" s="36" t="inlineStr">
        <is>
          <t xml:space="preserve">+2</t>
        </is>
      </c>
      <c r="Q35" s="37" t="inlineStr">
        <is>
          <t xml:space="preserve">-1</t>
        </is>
      </c>
      <c r="R35" s="36" t="inlineStr">
        <is>
          <t xml:space="preserve">+10</t>
        </is>
      </c>
      <c r="S35" s="24">
        <f>L35+M35/4+N35/4+3*(O35-2)</f>
      </c>
      <c r="T35" s="21" t="inlineStr">
        <is>
          <t xml:space="preserve">UN SOLO ATTACCO: e' cio' che separa un muro da un boss (misurato). Vita 18-&gt;28 col budget liberato.</t>
        </is>
      </c>
    </row>
    <row r="36" ht="30" customHeight="1">
      <c r="A36" s="15">
        <v>1</v>
      </c>
      <c r="B36" s="18" t="inlineStr">
        <is>
          <t xml:space="preserve">Troll Folle</t>
        </is>
      </c>
      <c r="C36" s="12" t="inlineStr">
        <is>
          <t xml:space="preserve">Frost Land</t>
        </is>
      </c>
      <c r="D36" s="12" t="inlineStr">
        <is>
          <t xml:space="preserve">tank</t>
        </is>
      </c>
      <c r="E36" s="12" t="inlineStr">
        <is>
          <t xml:space="preserve">tank</t>
        </is>
      </c>
      <c r="F36" s="12" t="inlineStr">
        <is>
          <t xml:space="preserve">Colosso</t>
        </is>
      </c>
      <c r="G36" s="12" t="inlineStr">
        <is>
          <t xml:space="preserve">Colosso</t>
        </is>
      </c>
      <c r="H36" s="15">
        <v>2</v>
      </c>
      <c r="I36" s="15">
        <v>9</v>
      </c>
      <c r="J36" s="15">
        <v>18</v>
      </c>
      <c r="K36" s="15">
        <v>2</v>
      </c>
      <c r="L36" s="34">
        <v>4</v>
      </c>
      <c r="M36" s="34">
        <v>8</v>
      </c>
      <c r="N36" s="34">
        <v>28</v>
      </c>
      <c r="O36" s="34">
        <v>1</v>
      </c>
      <c r="P36" s="36" t="inlineStr">
        <is>
          <t xml:space="preserve">+2</t>
        </is>
      </c>
      <c r="Q36" s="37" t="inlineStr">
        <is>
          <t xml:space="preserve">-1</t>
        </is>
      </c>
      <c r="R36" s="36" t="inlineStr">
        <is>
          <t xml:space="preserve">+10</t>
        </is>
      </c>
      <c r="S36" s="24">
        <f>L36+M36/4+N36/4+3*(O36-2)</f>
      </c>
      <c r="T36" s="21" t="inlineStr">
        <is>
          <t xml:space="preserve">Come sopra. Il suo +5 Attacco contro Livelli superiori resta il suo momento di gloria.</t>
        </is>
      </c>
    </row>
    <row r="37" ht="30" customHeight="1">
      <c r="A37" s="15">
        <v>1</v>
      </c>
      <c r="B37" s="18" t="inlineStr">
        <is>
          <t xml:space="preserve">Ultima Chiamata dal Cero</t>
        </is>
      </c>
      <c r="C37" s="12" t="inlineStr">
        <is>
          <t xml:space="preserve">Marbion</t>
        </is>
      </c>
      <c r="D37" s="12" t="inlineStr">
        <is>
          <t xml:space="preserve">tank</t>
        </is>
      </c>
      <c r="E37" s="12" t="inlineStr">
        <is>
          <t xml:space="preserve">tank</t>
        </is>
      </c>
      <c r="F37" s="12" t="inlineStr">
        <is>
          <t xml:space="preserve">Tessitore</t>
        </is>
      </c>
      <c r="G37" s="27" t="inlineStr">
        <is>
          <t xml:space="preserve">Colosso</t>
        </is>
      </c>
      <c r="H37" s="15">
        <v>4</v>
      </c>
      <c r="I37" s="15">
        <v>4</v>
      </c>
      <c r="J37" s="15">
        <v>8</v>
      </c>
      <c r="K37" s="15">
        <v>2</v>
      </c>
      <c r="L37" s="34">
        <v>3</v>
      </c>
      <c r="M37" s="34">
        <v>8</v>
      </c>
      <c r="N37" s="34">
        <v>30</v>
      </c>
      <c r="O37" s="34">
        <v>1</v>
      </c>
      <c r="P37" s="37" t="inlineStr">
        <is>
          <t xml:space="preserve">-1</t>
        </is>
      </c>
      <c r="Q37" s="36" t="inlineStr">
        <is>
          <t xml:space="preserve">+4</t>
        </is>
      </c>
      <c r="R37" s="36" t="inlineStr">
        <is>
          <t xml:space="preserve">+22</t>
        </is>
      </c>
      <c r="S37" s="24">
        <f>L37+M37/4+N37/4+3*(O37-2)</f>
      </c>
      <c r="T37" s="21" t="inlineStr">
        <is>
          <t xml:space="preserve">ARCHETIPO CAMBIATO: un tank deve avere il dado Colosso (3 Scudi, 3 Schivate). Col Tessitore era un tank col dado da aggressore.</t>
        </is>
      </c>
    </row>
    <row r="38" ht="30" customHeight="1">
      <c r="A38" s="16">
        <v>2</v>
      </c>
      <c r="B38" s="19" t="inlineStr">
        <is>
          <t xml:space="preserve">Cavaliere dell'Esercito di Marbion</t>
        </is>
      </c>
      <c r="C38" s="13" t="inlineStr">
        <is>
          <t xml:space="preserve">Marbion</t>
        </is>
      </c>
      <c r="D38" s="13" t="inlineStr">
        <is>
          <t xml:space="preserve">aggressore</t>
        </is>
      </c>
      <c r="E38" s="13" t="inlineStr">
        <is>
          <t xml:space="preserve">aggressore</t>
        </is>
      </c>
      <c r="F38" s="13" t="inlineStr">
        <is>
          <t xml:space="preserve">Assalitore</t>
        </is>
      </c>
      <c r="G38" s="13" t="inlineStr">
        <is>
          <t xml:space="preserve">Assalitore</t>
        </is>
      </c>
      <c r="H38" s="16">
        <v>19</v>
      </c>
      <c r="I38" s="16">
        <v>12</v>
      </c>
      <c r="J38" s="16">
        <v>26</v>
      </c>
      <c r="K38" s="16">
        <v>2</v>
      </c>
      <c r="L38" s="34">
        <v>24</v>
      </c>
      <c r="M38" s="34">
        <v>3</v>
      </c>
      <c r="N38" s="34">
        <v>17</v>
      </c>
      <c r="O38" s="34">
        <v>2</v>
      </c>
      <c r="P38" s="36" t="inlineStr">
        <is>
          <t xml:space="preserve">+5</t>
        </is>
      </c>
      <c r="Q38" s="37" t="inlineStr">
        <is>
          <t xml:space="preserve">-9</t>
        </is>
      </c>
      <c r="R38" s="37" t="inlineStr">
        <is>
          <t xml:space="preserve">-9</t>
        </is>
      </c>
      <c r="S38" s="25">
        <f>L38+M38/4+N38/4+3*(O38-2)</f>
      </c>
      <c r="T38" s="22" t="inlineStr">
        <is>
          <t xml:space="preserve">Parata 12-&gt;3: l'aggressore non paga in Parata. Attacco 19-&gt;24: definisce il tetto di Parata di L2 (24-4=20).</t>
        </is>
      </c>
    </row>
    <row r="39" ht="30" customHeight="1">
      <c r="A39" s="16">
        <v>2</v>
      </c>
      <c r="B39" s="19" t="inlineStr">
        <is>
          <t xml:space="preserve">Corruttore dei Deboli</t>
        </is>
      </c>
      <c r="C39" s="13" t="inlineStr">
        <is>
          <t xml:space="preserve">Frost Land</t>
        </is>
      </c>
      <c r="D39" s="13" t="inlineStr">
        <is>
          <t xml:space="preserve">aggressore</t>
        </is>
      </c>
      <c r="E39" s="13" t="inlineStr">
        <is>
          <t xml:space="preserve">aggressore</t>
        </is>
      </c>
      <c r="F39" s="13" t="inlineStr">
        <is>
          <t xml:space="preserve">Assalitore</t>
        </is>
      </c>
      <c r="G39" s="13" t="inlineStr">
        <is>
          <t xml:space="preserve">Assalitore</t>
        </is>
      </c>
      <c r="H39" s="16">
        <v>18</v>
      </c>
      <c r="I39" s="16">
        <v>8</v>
      </c>
      <c r="J39" s="16">
        <v>18</v>
      </c>
      <c r="K39" s="16">
        <v>2</v>
      </c>
      <c r="L39" s="34">
        <v>23</v>
      </c>
      <c r="M39" s="34">
        <v>3</v>
      </c>
      <c r="N39" s="34">
        <v>18</v>
      </c>
      <c r="O39" s="34">
        <v>2</v>
      </c>
      <c r="P39" s="36" t="inlineStr">
        <is>
          <t xml:space="preserve">+5</t>
        </is>
      </c>
      <c r="Q39" s="37" t="inlineStr">
        <is>
          <t xml:space="preserve">-5</t>
        </is>
      </c>
      <c r="R39" s="38" t="inlineStr">
        <is>
          <t xml:space="preserve">+0</t>
        </is>
      </c>
      <c r="S39" s="25">
        <f>L39+M39/4+N39/4+3*(O39-2)</f>
      </c>
      <c r="T39" s="22" t="inlineStr">
        <is>
          <t xml:space="preserve">Profilo aggressore. Attacco distanziato da 24.</t>
        </is>
      </c>
    </row>
    <row r="40" ht="30" customHeight="1">
      <c r="A40" s="16">
        <v>2</v>
      </c>
      <c r="B40" s="19" t="inlineStr">
        <is>
          <t xml:space="preserve">Il Braccio Destro</t>
        </is>
      </c>
      <c r="C40" s="13" t="inlineStr">
        <is>
          <t xml:space="preserve">Frost Land</t>
        </is>
      </c>
      <c r="D40" s="13" t="inlineStr">
        <is>
          <t xml:space="preserve">aggressore</t>
        </is>
      </c>
      <c r="E40" s="13" t="inlineStr">
        <is>
          <t xml:space="preserve">aggressore</t>
        </is>
      </c>
      <c r="F40" s="13" t="inlineStr">
        <is>
          <t xml:space="preserve">Assalitore</t>
        </is>
      </c>
      <c r="G40" s="13" t="inlineStr">
        <is>
          <t xml:space="preserve">Assalitore</t>
        </is>
      </c>
      <c r="H40" s="16">
        <v>18</v>
      </c>
      <c r="I40" s="16">
        <v>8</v>
      </c>
      <c r="J40" s="16">
        <v>18</v>
      </c>
      <c r="K40" s="16">
        <v>2</v>
      </c>
      <c r="L40" s="34">
        <v>22</v>
      </c>
      <c r="M40" s="34">
        <v>4</v>
      </c>
      <c r="N40" s="34">
        <v>19</v>
      </c>
      <c r="O40" s="34">
        <v>2</v>
      </c>
      <c r="P40" s="36" t="inlineStr">
        <is>
          <t xml:space="preserve">+4</t>
        </is>
      </c>
      <c r="Q40" s="37" t="inlineStr">
        <is>
          <t xml:space="preserve">-4</t>
        </is>
      </c>
      <c r="R40" s="36" t="inlineStr">
        <is>
          <t xml:space="preserve">+1</t>
        </is>
      </c>
      <c r="S40" s="25">
        <f>L40+M40/4+N40/4+3*(O40-2)</f>
      </c>
      <c r="T40" s="22" t="inlineStr">
        <is>
          <t xml:space="preserve">Profilo aggressore. Attacco distanziato.</t>
        </is>
      </c>
    </row>
    <row r="41" ht="30" customHeight="1">
      <c r="A41" s="16">
        <v>2</v>
      </c>
      <c r="B41" s="19" t="inlineStr">
        <is>
          <t xml:space="preserve">Maestro delle Lame</t>
        </is>
      </c>
      <c r="C41" s="13" t="inlineStr">
        <is>
          <t xml:space="preserve">Frost Land</t>
        </is>
      </c>
      <c r="D41" s="13" t="inlineStr">
        <is>
          <t xml:space="preserve">aggressore</t>
        </is>
      </c>
      <c r="E41" s="13" t="inlineStr">
        <is>
          <t xml:space="preserve">aggressore</t>
        </is>
      </c>
      <c r="F41" s="13" t="inlineStr">
        <is>
          <t xml:space="preserve">Assalitore</t>
        </is>
      </c>
      <c r="G41" s="13" t="inlineStr">
        <is>
          <t xml:space="preserve">Assalitore</t>
        </is>
      </c>
      <c r="H41" s="16">
        <v>18</v>
      </c>
      <c r="I41" s="16">
        <v>8</v>
      </c>
      <c r="J41" s="16">
        <v>18</v>
      </c>
      <c r="K41" s="16">
        <v>2</v>
      </c>
      <c r="L41" s="34">
        <v>22</v>
      </c>
      <c r="M41" s="34">
        <v>3</v>
      </c>
      <c r="N41" s="34">
        <v>20</v>
      </c>
      <c r="O41" s="34">
        <v>2</v>
      </c>
      <c r="P41" s="36" t="inlineStr">
        <is>
          <t xml:space="preserve">+4</t>
        </is>
      </c>
      <c r="Q41" s="37" t="inlineStr">
        <is>
          <t xml:space="preserve">-5</t>
        </is>
      </c>
      <c r="R41" s="36" t="inlineStr">
        <is>
          <t xml:space="preserve">+2</t>
        </is>
      </c>
      <c r="S41" s="25">
        <f>L41+M41/4+N41/4+3*(O41-2)</f>
      </c>
      <c r="T41" s="22" t="inlineStr">
        <is>
          <t xml:space="preserve">Profilo aggressore. Attacco distanziato.</t>
        </is>
      </c>
    </row>
    <row r="42" ht="30" customHeight="1">
      <c r="A42" s="16">
        <v>2</v>
      </c>
      <c r="B42" s="19" t="inlineStr">
        <is>
          <t xml:space="preserve">Lince Petalosa Protettiva</t>
        </is>
      </c>
      <c r="C42" s="13" t="inlineStr">
        <is>
          <t xml:space="preserve">Marbion</t>
        </is>
      </c>
      <c r="D42" s="13" t="inlineStr">
        <is>
          <t xml:space="preserve">aggressore</t>
        </is>
      </c>
      <c r="E42" s="27" t="inlineStr">
        <is>
          <t xml:space="preserve">evasivo</t>
        </is>
      </c>
      <c r="F42" s="13" t="inlineStr">
        <is>
          <t xml:space="preserve">Assalitore</t>
        </is>
      </c>
      <c r="G42" s="27" t="inlineStr">
        <is>
          <t xml:space="preserve">Effimeri</t>
        </is>
      </c>
      <c r="H42" s="16">
        <v>14</v>
      </c>
      <c r="I42" s="16">
        <v>9</v>
      </c>
      <c r="J42" s="16">
        <v>18</v>
      </c>
      <c r="K42" s="16">
        <v>2</v>
      </c>
      <c r="L42" s="34">
        <v>16</v>
      </c>
      <c r="M42" s="34">
        <v>4</v>
      </c>
      <c r="N42" s="34">
        <v>12</v>
      </c>
      <c r="O42" s="34">
        <v>3</v>
      </c>
      <c r="P42" s="36" t="inlineStr">
        <is>
          <t xml:space="preserve">+2</t>
        </is>
      </c>
      <c r="Q42" s="37" t="inlineStr">
        <is>
          <t xml:space="preserve">-5</t>
        </is>
      </c>
      <c r="R42" s="37" t="inlineStr">
        <is>
          <t xml:space="preserve">-6</t>
        </is>
      </c>
      <c r="S42" s="25">
        <f>L42+M42/4+N42/4+3*(O42-2)</f>
      </c>
      <c r="T42" s="22" t="inlineStr">
        <is>
          <t xml:space="preserve">RUOLO E ARCHETIPO CAMBIATI: cresce coi Cuccioli (che sono Effimeri evasivi). Coerenza di famiglia.</t>
        </is>
      </c>
    </row>
    <row r="43" ht="30" customHeight="1">
      <c r="A43" s="16">
        <v>2</v>
      </c>
      <c r="B43" s="19" t="inlineStr">
        <is>
          <t xml:space="preserve">Serpente Radiale</t>
        </is>
      </c>
      <c r="C43" s="13" t="inlineStr">
        <is>
          <t xml:space="preserve">Marbion</t>
        </is>
      </c>
      <c r="D43" s="13" t="inlineStr">
        <is>
          <t xml:space="preserve">aggressore</t>
        </is>
      </c>
      <c r="E43" s="27" t="inlineStr">
        <is>
          <t xml:space="preserve">evasivo</t>
        </is>
      </c>
      <c r="F43" s="13" t="inlineStr">
        <is>
          <t xml:space="preserve">Assalitore</t>
        </is>
      </c>
      <c r="G43" s="27" t="inlineStr">
        <is>
          <t xml:space="preserve">Effimeri</t>
        </is>
      </c>
      <c r="H43" s="16">
        <v>17</v>
      </c>
      <c r="I43" s="16">
        <v>10</v>
      </c>
      <c r="J43" s="16">
        <v>24</v>
      </c>
      <c r="K43" s="16">
        <v>2</v>
      </c>
      <c r="L43" s="34">
        <v>15</v>
      </c>
      <c r="M43" s="34">
        <v>4</v>
      </c>
      <c r="N43" s="34">
        <v>13</v>
      </c>
      <c r="O43" s="34">
        <v>3</v>
      </c>
      <c r="P43" s="37" t="inlineStr">
        <is>
          <t xml:space="preserve">-2</t>
        </is>
      </c>
      <c r="Q43" s="37" t="inlineStr">
        <is>
          <t xml:space="preserve">-6</t>
        </is>
      </c>
      <c r="R43" s="37" t="inlineStr">
        <is>
          <t xml:space="preserve">-11</t>
        </is>
      </c>
      <c r="S43" s="25">
        <f>L43+M43/4+N43/4+3*(O43-2)</f>
      </c>
      <c r="T43" s="22" t="inlineStr">
        <is>
          <t xml:space="preserve">RUOLO E ARCHETIPO CAMBIATI: quando muore distrugge l'avversario. E' un kamikaze, cioe' un evasivo. Il Livello 2 non aveva evasivi.</t>
        </is>
      </c>
    </row>
    <row r="44" ht="30" customHeight="1">
      <c r="A44" s="16">
        <v>2</v>
      </c>
      <c r="B44" s="19" t="inlineStr">
        <is>
          <t xml:space="preserve">Maestro del Patto Cremisi</t>
        </is>
      </c>
      <c r="C44" s="13" t="inlineStr">
        <is>
          <t xml:space="preserve">Frost Land</t>
        </is>
      </c>
      <c r="D44" s="13" t="inlineStr">
        <is>
          <t xml:space="preserve">bilanciato</t>
        </is>
      </c>
      <c r="E44" s="13" t="inlineStr">
        <is>
          <t xml:space="preserve">bilanciato</t>
        </is>
      </c>
      <c r="F44" s="13" t="inlineStr">
        <is>
          <t xml:space="preserve">Tessitore</t>
        </is>
      </c>
      <c r="G44" s="13" t="inlineStr">
        <is>
          <t xml:space="preserve">Tessitore</t>
        </is>
      </c>
      <c r="H44" s="16">
        <v>17</v>
      </c>
      <c r="I44" s="16">
        <v>9</v>
      </c>
      <c r="J44" s="16">
        <v>19</v>
      </c>
      <c r="K44" s="16">
        <v>2</v>
      </c>
      <c r="L44" s="34">
        <v>17</v>
      </c>
      <c r="M44" s="34">
        <v>10</v>
      </c>
      <c r="N44" s="34">
        <v>22</v>
      </c>
      <c r="O44" s="34">
        <v>2</v>
      </c>
      <c r="P44" s="38" t="inlineStr">
        <is>
          <t xml:space="preserve">+0</t>
        </is>
      </c>
      <c r="Q44" s="36" t="inlineStr">
        <is>
          <t xml:space="preserve">+1</t>
        </is>
      </c>
      <c r="R44" s="36" t="inlineStr">
        <is>
          <t xml:space="preserve">+3</t>
        </is>
      </c>
      <c r="S44" s="25">
        <f>L44+M44/4+N44/4+3*(O44-2)</f>
      </c>
      <c r="T44" s="22" t="inlineStr">
        <is>
          <t xml:space="preserve">Profilo bilanciato: quasi invariato, era gia' corretto.</t>
        </is>
      </c>
    </row>
    <row r="45" ht="30" customHeight="1">
      <c r="A45" s="16">
        <v>2</v>
      </c>
      <c r="B45" s="19" t="inlineStr">
        <is>
          <t xml:space="preserve">Manipolatrice Bianca</t>
        </is>
      </c>
      <c r="C45" s="13" t="inlineStr">
        <is>
          <t xml:space="preserve">Marbion</t>
        </is>
      </c>
      <c r="D45" s="13" t="inlineStr">
        <is>
          <t xml:space="preserve">bilanciato</t>
        </is>
      </c>
      <c r="E45" s="13" t="inlineStr">
        <is>
          <t xml:space="preserve">bilanciato</t>
        </is>
      </c>
      <c r="F45" s="13" t="inlineStr">
        <is>
          <t xml:space="preserve">Tessitore</t>
        </is>
      </c>
      <c r="G45" s="13" t="inlineStr">
        <is>
          <t xml:space="preserve">Tessitore</t>
        </is>
      </c>
      <c r="H45" s="16">
        <v>17</v>
      </c>
      <c r="I45" s="16">
        <v>11</v>
      </c>
      <c r="J45" s="16">
        <v>22</v>
      </c>
      <c r="K45" s="16">
        <v>2</v>
      </c>
      <c r="L45" s="34">
        <v>16</v>
      </c>
      <c r="M45" s="34">
        <v>11</v>
      </c>
      <c r="N45" s="34">
        <v>23</v>
      </c>
      <c r="O45" s="34">
        <v>2</v>
      </c>
      <c r="P45" s="37" t="inlineStr">
        <is>
          <t xml:space="preserve">-1</t>
        </is>
      </c>
      <c r="Q45" s="38" t="inlineStr">
        <is>
          <t xml:space="preserve">+0</t>
        </is>
      </c>
      <c r="R45" s="36" t="inlineStr">
        <is>
          <t xml:space="preserve">+1</t>
        </is>
      </c>
      <c r="S45" s="25">
        <f>L45+M45/4+N45/4+3*(O45-2)</f>
      </c>
      <c r="T45" s="22" t="inlineStr">
        <is>
          <t xml:space="preserve">Profilo bilanciato: quasi invariato.</t>
        </is>
      </c>
    </row>
    <row r="46" ht="30" customHeight="1">
      <c r="A46" s="16">
        <v>2</v>
      </c>
      <c r="B46" s="19" t="inlineStr">
        <is>
          <t xml:space="preserve">Pianta Carnivora</t>
        </is>
      </c>
      <c r="C46" s="13" t="inlineStr">
        <is>
          <t xml:space="preserve">Marbion</t>
        </is>
      </c>
      <c r="D46" s="13" t="inlineStr">
        <is>
          <t xml:space="preserve">bilanciato</t>
        </is>
      </c>
      <c r="E46" s="27" t="inlineStr">
        <is>
          <t xml:space="preserve">supporto</t>
        </is>
      </c>
      <c r="F46" s="13" t="inlineStr">
        <is>
          <t xml:space="preserve">Assalitore</t>
        </is>
      </c>
      <c r="G46" s="27" t="inlineStr">
        <is>
          <t xml:space="preserve">Viandante</t>
        </is>
      </c>
      <c r="H46" s="16">
        <v>13</v>
      </c>
      <c r="I46" s="16">
        <v>6</v>
      </c>
      <c r="J46" s="16">
        <v>16</v>
      </c>
      <c r="K46" s="16">
        <v>2</v>
      </c>
      <c r="L46" s="34">
        <v>13</v>
      </c>
      <c r="M46" s="34">
        <v>17</v>
      </c>
      <c r="N46" s="34">
        <v>28</v>
      </c>
      <c r="O46" s="34">
        <v>2</v>
      </c>
      <c r="P46" s="38" t="inlineStr">
        <is>
          <t xml:space="preserve">+0</t>
        </is>
      </c>
      <c r="Q46" s="36" t="inlineStr">
        <is>
          <t xml:space="preserve">+11</t>
        </is>
      </c>
      <c r="R46" s="36" t="inlineStr">
        <is>
          <t xml:space="preserve">+12</t>
        </is>
      </c>
      <c r="S46" s="25">
        <f>L46+M46/4+N46/4+3*(O46-2)</f>
      </c>
      <c r="T46" s="22" t="inlineStr">
        <is>
          <t xml:space="preserve">RUOLO E ARCHETIPO CAMBIATI: divora le TUE Pedine per crescere. E' un motore di supporto, non un bilanciato. Il Livello 2 non aveva supporti.</t>
        </is>
      </c>
    </row>
    <row r="47" ht="30" customHeight="1">
      <c r="A47" s="16">
        <v>2</v>
      </c>
      <c r="B47" s="19" t="inlineStr">
        <is>
          <t xml:space="preserve">Condottiero Fiero</t>
        </is>
      </c>
      <c r="C47" s="13" t="inlineStr">
        <is>
          <t xml:space="preserve">Frost Land</t>
        </is>
      </c>
      <c r="D47" s="13" t="inlineStr">
        <is>
          <t xml:space="preserve">tank</t>
        </is>
      </c>
      <c r="E47" s="27" t="inlineStr">
        <is>
          <t xml:space="preserve">difensore</t>
        </is>
      </c>
      <c r="F47" s="13" t="inlineStr">
        <is>
          <t xml:space="preserve">Assalitore</t>
        </is>
      </c>
      <c r="G47" s="27" t="inlineStr">
        <is>
          <t xml:space="preserve">Viandante</t>
        </is>
      </c>
      <c r="H47" s="16">
        <v>16</v>
      </c>
      <c r="I47" s="16">
        <v>10</v>
      </c>
      <c r="J47" s="16">
        <v>20</v>
      </c>
      <c r="K47" s="16">
        <v>2</v>
      </c>
      <c r="L47" s="34">
        <v>11</v>
      </c>
      <c r="M47" s="34">
        <v>19</v>
      </c>
      <c r="N47" s="34">
        <v>28</v>
      </c>
      <c r="O47" s="34">
        <v>2</v>
      </c>
      <c r="P47" s="37" t="inlineStr">
        <is>
          <t xml:space="preserve">-5</t>
        </is>
      </c>
      <c r="Q47" s="36" t="inlineStr">
        <is>
          <t xml:space="preserve">+9</t>
        </is>
      </c>
      <c r="R47" s="36" t="inlineStr">
        <is>
          <t xml:space="preserve">+8</t>
        </is>
      </c>
      <c r="S47" s="25">
        <f>L47+M47/4+N47/4+3*(O47-2)</f>
      </c>
      <c r="T47" s="22" t="inlineStr">
        <is>
          <t xml:space="preserve">RUOLO E ARCHETIPO CAMBIATI: sopravvive a un colpo letale una volta per turno. E' un difensore. Col dado Assalitore era un tank che tirava 4 Spade su 8.</t>
        </is>
      </c>
    </row>
    <row r="48" ht="30" customHeight="1">
      <c r="A48" s="16">
        <v>2</v>
      </c>
      <c r="B48" s="19" t="inlineStr">
        <is>
          <t xml:space="preserve">Condottiero Fiero (2a copia)</t>
        </is>
      </c>
      <c r="C48" s="13" t="inlineStr">
        <is>
          <t xml:space="preserve">Frost Land</t>
        </is>
      </c>
      <c r="D48" s="13" t="inlineStr">
        <is>
          <t xml:space="preserve">tank</t>
        </is>
      </c>
      <c r="E48" s="27" t="inlineStr">
        <is>
          <t xml:space="preserve">difensore</t>
        </is>
      </c>
      <c r="F48" s="13" t="inlineStr">
        <is>
          <t xml:space="preserve">Assalitore</t>
        </is>
      </c>
      <c r="G48" s="27" t="inlineStr">
        <is>
          <t xml:space="preserve">Viandante</t>
        </is>
      </c>
      <c r="H48" s="16">
        <v>16</v>
      </c>
      <c r="I48" s="16">
        <v>10</v>
      </c>
      <c r="J48" s="16">
        <v>20</v>
      </c>
      <c r="K48" s="16">
        <v>2</v>
      </c>
      <c r="L48" s="34">
        <v>11</v>
      </c>
      <c r="M48" s="34">
        <v>19</v>
      </c>
      <c r="N48" s="34">
        <v>28</v>
      </c>
      <c r="O48" s="34">
        <v>2</v>
      </c>
      <c r="P48" s="37" t="inlineStr">
        <is>
          <t xml:space="preserve">-5</t>
        </is>
      </c>
      <c r="Q48" s="36" t="inlineStr">
        <is>
          <t xml:space="preserve">+9</t>
        </is>
      </c>
      <c r="R48" s="36" t="inlineStr">
        <is>
          <t xml:space="preserve">+8</t>
        </is>
      </c>
      <c r="S48" s="25">
        <f>L48+M48/4+N48/4+3*(O48-2)</f>
      </c>
      <c r="T48" s="22" t="inlineStr">
        <is>
          <t xml:space="preserve">Identica alla prima copia.</t>
        </is>
      </c>
    </row>
    <row r="49" ht="30" customHeight="1">
      <c r="A49" s="16">
        <v>2</v>
      </c>
      <c r="B49" s="19" t="inlineStr">
        <is>
          <t xml:space="preserve">Crisbota Simbiotica</t>
        </is>
      </c>
      <c r="C49" s="13" t="inlineStr">
        <is>
          <t xml:space="preserve">Marbion</t>
        </is>
      </c>
      <c r="D49" s="13" t="inlineStr">
        <is>
          <t xml:space="preserve">difensore</t>
        </is>
      </c>
      <c r="E49" s="13" t="inlineStr">
        <is>
          <t xml:space="preserve">difensore</t>
        </is>
      </c>
      <c r="F49" s="13" t="inlineStr">
        <is>
          <t xml:space="preserve">Tessitore</t>
        </is>
      </c>
      <c r="G49" s="27" t="inlineStr">
        <is>
          <t xml:space="preserve">Colosso</t>
        </is>
      </c>
      <c r="H49" s="16">
        <v>14</v>
      </c>
      <c r="I49" s="16">
        <v>16</v>
      </c>
      <c r="J49" s="16">
        <v>21</v>
      </c>
      <c r="K49" s="16">
        <v>2</v>
      </c>
      <c r="L49" s="34">
        <v>10</v>
      </c>
      <c r="M49" s="34">
        <v>20</v>
      </c>
      <c r="N49" s="34">
        <v>29</v>
      </c>
      <c r="O49" s="34">
        <v>2</v>
      </c>
      <c r="P49" s="37" t="inlineStr">
        <is>
          <t xml:space="preserve">-4</t>
        </is>
      </c>
      <c r="Q49" s="36" t="inlineStr">
        <is>
          <t xml:space="preserve">+4</t>
        </is>
      </c>
      <c r="R49" s="36" t="inlineStr">
        <is>
          <t xml:space="preserve">+8</t>
        </is>
      </c>
      <c r="S49" s="25">
        <f>L49+M49/4+N49/4+3*(O49-2)</f>
      </c>
      <c r="T49" s="22" t="inlineStr">
        <is>
          <t xml:space="preserve">ARCHETIPO CAMBIATO: da' +3 Parata alla retrovia. Un difensore deve avere il dado Colosso.</t>
        </is>
      </c>
    </row>
    <row r="50" ht="30" customHeight="1">
      <c r="A50" s="16">
        <v>2</v>
      </c>
      <c r="B50" s="19" t="inlineStr">
        <is>
          <t xml:space="preserve">Evocatore del Sangue</t>
        </is>
      </c>
      <c r="C50" s="13" t="inlineStr">
        <is>
          <t xml:space="preserve">Frost Land</t>
        </is>
      </c>
      <c r="D50" s="13" t="inlineStr">
        <is>
          <t xml:space="preserve">tank</t>
        </is>
      </c>
      <c r="E50" s="13" t="inlineStr">
        <is>
          <t xml:space="preserve">tank</t>
        </is>
      </c>
      <c r="F50" s="13" t="inlineStr">
        <is>
          <t xml:space="preserve">Colosso</t>
        </is>
      </c>
      <c r="G50" s="13" t="inlineStr">
        <is>
          <t xml:space="preserve">Colosso</t>
        </is>
      </c>
      <c r="H50" s="16">
        <v>8</v>
      </c>
      <c r="I50" s="16">
        <v>17</v>
      </c>
      <c r="J50" s="16">
        <v>30</v>
      </c>
      <c r="K50" s="16">
        <v>2</v>
      </c>
      <c r="L50" s="34">
        <v>8</v>
      </c>
      <c r="M50" s="34">
        <v>20</v>
      </c>
      <c r="N50" s="34">
        <v>56</v>
      </c>
      <c r="O50" s="34">
        <v>1</v>
      </c>
      <c r="P50" s="38" t="inlineStr">
        <is>
          <t xml:space="preserve">+0</t>
        </is>
      </c>
      <c r="Q50" s="36" t="inlineStr">
        <is>
          <t xml:space="preserve">+3</t>
        </is>
      </c>
      <c r="R50" s="36" t="inlineStr">
        <is>
          <t xml:space="preserve">+26</t>
        </is>
      </c>
      <c r="S50" s="25">
        <f>L50+M50/4+N50/4+3*(O50-2)</f>
      </c>
      <c r="T50" s="22" t="inlineStr">
        <is>
          <t xml:space="preserve">L'unico vero muro del Livello 2. Un solo attacco, Vita 30-&gt;56: diventa il perno difensivo del livello.</t>
        </is>
      </c>
    </row>
    <row r="51" ht="30" customHeight="1">
      <c r="A51" s="17">
        <v>3</v>
      </c>
      <c r="B51" s="20" t="inlineStr">
        <is>
          <t xml:space="preserve">Il Prescelto si e' Elevato</t>
        </is>
      </c>
      <c r="C51" s="14" t="inlineStr">
        <is>
          <t xml:space="preserve">Marbion</t>
        </is>
      </c>
      <c r="D51" s="14" t="inlineStr">
        <is>
          <t xml:space="preserve">aggressore</t>
        </is>
      </c>
      <c r="E51" s="14" t="inlineStr">
        <is>
          <t xml:space="preserve">aggressore</t>
        </is>
      </c>
      <c r="F51" s="14" t="inlineStr">
        <is>
          <t xml:space="preserve">Colosso</t>
        </is>
      </c>
      <c r="G51" s="27" t="inlineStr">
        <is>
          <t xml:space="preserve">Assalitore</t>
        </is>
      </c>
      <c r="H51" s="17">
        <v>26</v>
      </c>
      <c r="I51" s="17">
        <v>28</v>
      </c>
      <c r="J51" s="17">
        <v>45</v>
      </c>
      <c r="K51" s="17">
        <v>2</v>
      </c>
      <c r="L51" s="34">
        <v>30</v>
      </c>
      <c r="M51" s="34">
        <v>4</v>
      </c>
      <c r="N51" s="34">
        <v>26</v>
      </c>
      <c r="O51" s="34">
        <v>2</v>
      </c>
      <c r="P51" s="36" t="inlineStr">
        <is>
          <t xml:space="preserve">+4</t>
        </is>
      </c>
      <c r="Q51" s="37" t="inlineStr">
        <is>
          <t xml:space="preserve">-24</t>
        </is>
      </c>
      <c r="R51" s="37" t="inlineStr">
        <is>
          <t xml:space="preserve">-19</t>
        </is>
      </c>
      <c r="S51" s="26">
        <f>L51+M51/4+N51/4+3*(O51-2)</f>
      </c>
      <c r="T51" s="23" t="inlineStr">
        <is>
          <t xml:space="preserve">ARCHETIPO CAMBIATO: era un aggressore col dado piu' DIFENSIVO del gioco. Ora Assalitore. Parata 28-&gt;4, Attacco 26-&gt;30: definisce il tetto di Parata di L3 (30-4=26).</t>
        </is>
      </c>
    </row>
    <row r="52" ht="30" customHeight="1">
      <c r="A52" s="17">
        <v>3</v>
      </c>
      <c r="B52" s="20" t="inlineStr">
        <is>
          <t xml:space="preserve">Il Re Antico</t>
        </is>
      </c>
      <c r="C52" s="14" t="inlineStr">
        <is>
          <t xml:space="preserve">Frost Land</t>
        </is>
      </c>
      <c r="D52" s="14" t="inlineStr">
        <is>
          <t xml:space="preserve">aggressore</t>
        </is>
      </c>
      <c r="E52" s="14" t="inlineStr">
        <is>
          <t xml:space="preserve">aggressore</t>
        </is>
      </c>
      <c r="F52" s="14" t="inlineStr">
        <is>
          <t xml:space="preserve">Colosso</t>
        </is>
      </c>
      <c r="G52" s="27" t="inlineStr">
        <is>
          <t xml:space="preserve">Assalitore</t>
        </is>
      </c>
      <c r="H52" s="17">
        <v>24</v>
      </c>
      <c r="I52" s="17">
        <v>26</v>
      </c>
      <c r="J52" s="17">
        <v>43</v>
      </c>
      <c r="K52" s="17">
        <v>3</v>
      </c>
      <c r="L52" s="34">
        <v>25</v>
      </c>
      <c r="M52" s="34">
        <v>4</v>
      </c>
      <c r="N52" s="34">
        <v>22</v>
      </c>
      <c r="O52" s="34">
        <v>3</v>
      </c>
      <c r="P52" s="36" t="inlineStr">
        <is>
          <t xml:space="preserve">+1</t>
        </is>
      </c>
      <c r="Q52" s="37" t="inlineStr">
        <is>
          <t xml:space="preserve">-22</t>
        </is>
      </c>
      <c r="R52" s="37" t="inlineStr">
        <is>
          <t xml:space="preserve">-21</t>
        </is>
      </c>
      <c r="S52" s="26">
        <f>L52+M52/4+N52/4+3*(O52-2)</f>
      </c>
      <c r="T52" s="23" t="inlineStr">
        <is>
          <t xml:space="preserve">ARCHETIPO CAMBIATO come sopra. Tiene i 3 attacchi (effetto stampato) ma il 3o attacco costa 3 punti di budget: Attacco e Vita scendono.</t>
        </is>
      </c>
    </row>
    <row r="53" ht="30" customHeight="1">
      <c r="A53" s="17">
        <v>3</v>
      </c>
      <c r="B53" s="20" t="inlineStr">
        <is>
          <t xml:space="preserve">Il Re Antico (2a copia)</t>
        </is>
      </c>
      <c r="C53" s="14" t="inlineStr">
        <is>
          <t xml:space="preserve">Frost Land</t>
        </is>
      </c>
      <c r="D53" s="14" t="inlineStr">
        <is>
          <t xml:space="preserve">aggressore</t>
        </is>
      </c>
      <c r="E53" s="14" t="inlineStr">
        <is>
          <t xml:space="preserve">aggressore</t>
        </is>
      </c>
      <c r="F53" s="14" t="inlineStr">
        <is>
          <t xml:space="preserve">Colosso</t>
        </is>
      </c>
      <c r="G53" s="27" t="inlineStr">
        <is>
          <t xml:space="preserve">Assalitore</t>
        </is>
      </c>
      <c r="H53" s="17">
        <v>24</v>
      </c>
      <c r="I53" s="17">
        <v>26</v>
      </c>
      <c r="J53" s="17">
        <v>43</v>
      </c>
      <c r="K53" s="17">
        <v>3</v>
      </c>
      <c r="L53" s="34">
        <v>25</v>
      </c>
      <c r="M53" s="34">
        <v>4</v>
      </c>
      <c r="N53" s="34">
        <v>22</v>
      </c>
      <c r="O53" s="34">
        <v>3</v>
      </c>
      <c r="P53" s="36" t="inlineStr">
        <is>
          <t xml:space="preserve">+1</t>
        </is>
      </c>
      <c r="Q53" s="37" t="inlineStr">
        <is>
          <t xml:space="preserve">-22</t>
        </is>
      </c>
      <c r="R53" s="37" t="inlineStr">
        <is>
          <t xml:space="preserve">-21</t>
        </is>
      </c>
      <c r="S53" s="26">
        <f>L53+M53/4+N53/4+3*(O53-2)</f>
      </c>
      <c r="T53" s="23" t="inlineStr">
        <is>
          <t xml:space="preserve">Identica alla prima copia. NOTA: l'Attacco 24 condiviso con Potere Divino causava il 78% di doppi KO. Ora 25 contro 12.</t>
        </is>
      </c>
    </row>
    <row r="54" ht="30" customHeight="1">
      <c r="A54" s="17">
        <v>3</v>
      </c>
      <c r="B54" s="20" t="inlineStr">
        <is>
          <t xml:space="preserve">Mago Sorprendente</t>
        </is>
      </c>
      <c r="C54" s="14" t="inlineStr">
        <is>
          <t xml:space="preserve">Frost Land</t>
        </is>
      </c>
      <c r="D54" s="14" t="inlineStr">
        <is>
          <t xml:space="preserve">bilanciato</t>
        </is>
      </c>
      <c r="E54" s="14" t="inlineStr">
        <is>
          <t xml:space="preserve">bilanciato</t>
        </is>
      </c>
      <c r="F54" s="14" t="inlineStr">
        <is>
          <t xml:space="preserve">Tessitore</t>
        </is>
      </c>
      <c r="G54" s="27" t="inlineStr">
        <is>
          <t xml:space="preserve">Viandante</t>
        </is>
      </c>
      <c r="H54" s="17">
        <v>30</v>
      </c>
      <c r="I54" s="17">
        <v>22</v>
      </c>
      <c r="J54" s="17">
        <v>33</v>
      </c>
      <c r="K54" s="17">
        <v>2</v>
      </c>
      <c r="L54" s="34">
        <v>24</v>
      </c>
      <c r="M54" s="34">
        <v>15</v>
      </c>
      <c r="N54" s="34">
        <v>34</v>
      </c>
      <c r="O54" s="34">
        <v>2</v>
      </c>
      <c r="P54" s="37" t="inlineStr">
        <is>
          <t xml:space="preserve">-6</t>
        </is>
      </c>
      <c r="Q54" s="37" t="inlineStr">
        <is>
          <t xml:space="preserve">-7</t>
        </is>
      </c>
      <c r="R54" s="36" t="inlineStr">
        <is>
          <t xml:space="preserve">+1</t>
        </is>
      </c>
      <c r="S54" s="26">
        <f>L54+M54/4+N54/4+3*(O54-2)</f>
      </c>
      <c r="T54" s="23" t="inlineStr">
        <is>
          <t xml:space="preserve">ARCHETIPO CAMBIATO: il Viandante e' il dado equilibrato, coerente col ruolo. Attacco 30-&gt;24: il bilanciato non puo' avere l'Attacco piu' alto del gioco.</t>
        </is>
      </c>
    </row>
    <row r="55" ht="30" customHeight="1">
      <c r="A55" s="17">
        <v>3</v>
      </c>
      <c r="B55" s="20" t="inlineStr">
        <is>
          <t xml:space="preserve">Mago Sorprendente (2a copia)</t>
        </is>
      </c>
      <c r="C55" s="14" t="inlineStr">
        <is>
          <t xml:space="preserve">Frost Land</t>
        </is>
      </c>
      <c r="D55" s="14" t="inlineStr">
        <is>
          <t xml:space="preserve">bilanciato</t>
        </is>
      </c>
      <c r="E55" s="14" t="inlineStr">
        <is>
          <t xml:space="preserve">bilanciato</t>
        </is>
      </c>
      <c r="F55" s="14" t="inlineStr">
        <is>
          <t xml:space="preserve">Tessitore</t>
        </is>
      </c>
      <c r="G55" s="27" t="inlineStr">
        <is>
          <t xml:space="preserve">Viandante</t>
        </is>
      </c>
      <c r="H55" s="17">
        <v>30</v>
      </c>
      <c r="I55" s="17">
        <v>22</v>
      </c>
      <c r="J55" s="17">
        <v>33</v>
      </c>
      <c r="K55" s="17">
        <v>2</v>
      </c>
      <c r="L55" s="34">
        <v>24</v>
      </c>
      <c r="M55" s="34">
        <v>15</v>
      </c>
      <c r="N55" s="34">
        <v>34</v>
      </c>
      <c r="O55" s="34">
        <v>2</v>
      </c>
      <c r="P55" s="37" t="inlineStr">
        <is>
          <t xml:space="preserve">-6</t>
        </is>
      </c>
      <c r="Q55" s="37" t="inlineStr">
        <is>
          <t xml:space="preserve">-7</t>
        </is>
      </c>
      <c r="R55" s="36" t="inlineStr">
        <is>
          <t xml:space="preserve">+1</t>
        </is>
      </c>
      <c r="S55" s="26">
        <f>L55+M55/4+N55/4+3*(O55-2)</f>
      </c>
      <c r="T55" s="23" t="inlineStr">
        <is>
          <t xml:space="preserve">Identica alla prima copia.</t>
        </is>
      </c>
    </row>
    <row r="56" ht="30" customHeight="1">
      <c r="A56" s="17">
        <v>3</v>
      </c>
      <c r="B56" s="20" t="inlineStr">
        <is>
          <t xml:space="preserve">Manipolatrice Suprema</t>
        </is>
      </c>
      <c r="C56" s="14" t="inlineStr">
        <is>
          <t xml:space="preserve">Marbion</t>
        </is>
      </c>
      <c r="D56" s="14" t="inlineStr">
        <is>
          <t xml:space="preserve">bilanciato</t>
        </is>
      </c>
      <c r="E56" s="14" t="inlineStr">
        <is>
          <t xml:space="preserve">bilanciato</t>
        </is>
      </c>
      <c r="F56" s="14" t="inlineStr">
        <is>
          <t xml:space="preserve">Tessitore</t>
        </is>
      </c>
      <c r="G56" s="14" t="inlineStr">
        <is>
          <t xml:space="preserve">Tessitore</t>
        </is>
      </c>
      <c r="H56" s="17">
        <v>28</v>
      </c>
      <c r="I56" s="17">
        <v>25</v>
      </c>
      <c r="J56" s="17">
        <v>40</v>
      </c>
      <c r="K56" s="17">
        <v>2</v>
      </c>
      <c r="L56" s="34">
        <v>23</v>
      </c>
      <c r="M56" s="34">
        <v>16</v>
      </c>
      <c r="N56" s="34">
        <v>35</v>
      </c>
      <c r="O56" s="34">
        <v>2</v>
      </c>
      <c r="P56" s="37" t="inlineStr">
        <is>
          <t xml:space="preserve">-5</t>
        </is>
      </c>
      <c r="Q56" s="37" t="inlineStr">
        <is>
          <t xml:space="preserve">-9</t>
        </is>
      </c>
      <c r="R56" s="37" t="inlineStr">
        <is>
          <t xml:space="preserve">-5</t>
        </is>
      </c>
      <c r="S56" s="26">
        <f>L56+M56/4+N56/4+3*(O56-2)</f>
      </c>
      <c r="T56" s="23" t="inlineStr">
        <is>
          <t xml:space="preserve">Profilo bilanciato. Attacco 28-&gt;23, Parata 25-&gt;16: non deve essere ne' la piu' forte ne' un muro.</t>
        </is>
      </c>
    </row>
    <row r="57" ht="30" customHeight="1">
      <c r="A57" s="17">
        <v>3</v>
      </c>
      <c r="B57" s="20" t="inlineStr">
        <is>
          <t xml:space="preserve">Manipolatrice Suprema (2a copia)</t>
        </is>
      </c>
      <c r="C57" s="14" t="inlineStr">
        <is>
          <t xml:space="preserve">Marbion</t>
        </is>
      </c>
      <c r="D57" s="14" t="inlineStr">
        <is>
          <t xml:space="preserve">bilanciato</t>
        </is>
      </c>
      <c r="E57" s="14" t="inlineStr">
        <is>
          <t xml:space="preserve">bilanciato</t>
        </is>
      </c>
      <c r="F57" s="14" t="inlineStr">
        <is>
          <t xml:space="preserve">Tessitore</t>
        </is>
      </c>
      <c r="G57" s="14" t="inlineStr">
        <is>
          <t xml:space="preserve">Tessitore</t>
        </is>
      </c>
      <c r="H57" s="17">
        <v>28</v>
      </c>
      <c r="I57" s="17">
        <v>25</v>
      </c>
      <c r="J57" s="17">
        <v>40</v>
      </c>
      <c r="K57" s="17">
        <v>2</v>
      </c>
      <c r="L57" s="34">
        <v>23</v>
      </c>
      <c r="M57" s="34">
        <v>16</v>
      </c>
      <c r="N57" s="34">
        <v>35</v>
      </c>
      <c r="O57" s="34">
        <v>2</v>
      </c>
      <c r="P57" s="37" t="inlineStr">
        <is>
          <t xml:space="preserve">-5</t>
        </is>
      </c>
      <c r="Q57" s="37" t="inlineStr">
        <is>
          <t xml:space="preserve">-9</t>
        </is>
      </c>
      <c r="R57" s="37" t="inlineStr">
        <is>
          <t xml:space="preserve">-5</t>
        </is>
      </c>
      <c r="S57" s="26">
        <f>L57+M57/4+N57/4+3*(O57-2)</f>
      </c>
      <c r="T57" s="23" t="inlineStr">
        <is>
          <t xml:space="preserve">Identica alla prima copia.</t>
        </is>
      </c>
    </row>
    <row r="58" ht="30" customHeight="1">
      <c r="A58" s="17">
        <v>3</v>
      </c>
      <c r="B58" s="20" t="inlineStr">
        <is>
          <t xml:space="preserve">Guardiano di Marbion</t>
        </is>
      </c>
      <c r="C58" s="14" t="inlineStr">
        <is>
          <t xml:space="preserve">Marbion</t>
        </is>
      </c>
      <c r="D58" s="14" t="inlineStr">
        <is>
          <t xml:space="preserve">tank</t>
        </is>
      </c>
      <c r="E58" s="27" t="inlineStr">
        <is>
          <t xml:space="preserve">supporto</t>
        </is>
      </c>
      <c r="F58" s="14" t="inlineStr">
        <is>
          <t xml:space="preserve">Colosso</t>
        </is>
      </c>
      <c r="G58" s="27" t="inlineStr">
        <is>
          <t xml:space="preserve">Effimeri</t>
        </is>
      </c>
      <c r="H58" s="17">
        <v>0</v>
      </c>
      <c r="I58" s="17">
        <v>30</v>
      </c>
      <c r="J58" s="17">
        <v>44</v>
      </c>
      <c r="K58" s="17">
        <v>1</v>
      </c>
      <c r="L58" s="34">
        <v>19</v>
      </c>
      <c r="M58" s="34">
        <v>26</v>
      </c>
      <c r="N58" s="34">
        <v>42</v>
      </c>
      <c r="O58" s="34">
        <v>2</v>
      </c>
      <c r="P58" s="36" t="inlineStr">
        <is>
          <t xml:space="preserve">+19</t>
        </is>
      </c>
      <c r="Q58" s="37" t="inlineStr">
        <is>
          <t xml:space="preserve">-4</t>
        </is>
      </c>
      <c r="R58" s="37" t="inlineStr">
        <is>
          <t xml:space="preserve">-2</t>
        </is>
      </c>
      <c r="S58" s="26">
        <f>L58+M58/4+N58/4+3*(O58-2)</f>
      </c>
      <c r="T58" s="23" t="inlineStr">
        <is>
          <t xml:space="preserve">RISOLVE LA DECISIONE D3: Attacco 0 -&gt; 19. Con Attacco 0 non poteva fare danno su nessuna faccia, eppure vinceva il 6% perche' chi lo attaccava si uccideva col contraccolpo. Diventa il supporto di Livello 3, che mancava.</t>
        </is>
      </c>
    </row>
    <row r="59" ht="30" customHeight="1">
      <c r="A59" s="17">
        <v>3</v>
      </c>
      <c r="B59" s="20" t="inlineStr">
        <is>
          <t xml:space="preserve">Drago Linfatico</t>
        </is>
      </c>
      <c r="C59" s="14" t="inlineStr">
        <is>
          <t xml:space="preserve">Marbion</t>
        </is>
      </c>
      <c r="D59" s="14" t="inlineStr">
        <is>
          <t xml:space="preserve">difensore</t>
        </is>
      </c>
      <c r="E59" s="14" t="inlineStr">
        <is>
          <t xml:space="preserve">difensore</t>
        </is>
      </c>
      <c r="F59" s="14" t="inlineStr">
        <is>
          <t xml:space="preserve">Colosso</t>
        </is>
      </c>
      <c r="G59" s="14" t="inlineStr">
        <is>
          <t xml:space="preserve">Colosso</t>
        </is>
      </c>
      <c r="H59" s="17">
        <v>22</v>
      </c>
      <c r="I59" s="17">
        <v>30</v>
      </c>
      <c r="J59" s="17">
        <v>40</v>
      </c>
      <c r="K59" s="17">
        <v>2</v>
      </c>
      <c r="L59" s="34">
        <v>15</v>
      </c>
      <c r="M59" s="34">
        <v>25</v>
      </c>
      <c r="N59" s="34">
        <v>42</v>
      </c>
      <c r="O59" s="34">
        <v>2</v>
      </c>
      <c r="P59" s="37" t="inlineStr">
        <is>
          <t xml:space="preserve">-7</t>
        </is>
      </c>
      <c r="Q59" s="37" t="inlineStr">
        <is>
          <t xml:space="preserve">-5</t>
        </is>
      </c>
      <c r="R59" s="36" t="inlineStr">
        <is>
          <t xml:space="preserve">+2</t>
        </is>
      </c>
      <c r="S59" s="26">
        <f>L59+M59/4+N59/4+3*(O59-2)</f>
      </c>
      <c r="T59" s="23" t="inlineStr">
        <is>
          <t xml:space="preserve">Profilo difensore: Attacco 22-&gt;15, Parata 30-&gt;25 (sotto il tetto 26). Il suo effetto anti-Schivata resta il suo mestiere offensivo.</t>
        </is>
      </c>
    </row>
    <row r="60" ht="30" customHeight="1">
      <c r="A60" s="17">
        <v>3</v>
      </c>
      <c r="B60" s="20" t="inlineStr">
        <is>
          <t xml:space="preserve">Drago Linfatico (2a copia)</t>
        </is>
      </c>
      <c r="C60" s="14" t="inlineStr">
        <is>
          <t xml:space="preserve">Marbion</t>
        </is>
      </c>
      <c r="D60" s="14" t="inlineStr">
        <is>
          <t xml:space="preserve">difensore</t>
        </is>
      </c>
      <c r="E60" s="14" t="inlineStr">
        <is>
          <t xml:space="preserve">difensore</t>
        </is>
      </c>
      <c r="F60" s="14" t="inlineStr">
        <is>
          <t xml:space="preserve">Colosso</t>
        </is>
      </c>
      <c r="G60" s="14" t="inlineStr">
        <is>
          <t xml:space="preserve">Colosso</t>
        </is>
      </c>
      <c r="H60" s="17">
        <v>22</v>
      </c>
      <c r="I60" s="17">
        <v>30</v>
      </c>
      <c r="J60" s="17">
        <v>40</v>
      </c>
      <c r="K60" s="17">
        <v>2</v>
      </c>
      <c r="L60" s="34">
        <v>15</v>
      </c>
      <c r="M60" s="34">
        <v>25</v>
      </c>
      <c r="N60" s="34">
        <v>42</v>
      </c>
      <c r="O60" s="34">
        <v>2</v>
      </c>
      <c r="P60" s="37" t="inlineStr">
        <is>
          <t xml:space="preserve">-7</t>
        </is>
      </c>
      <c r="Q60" s="37" t="inlineStr">
        <is>
          <t xml:space="preserve">-5</t>
        </is>
      </c>
      <c r="R60" s="36" t="inlineStr">
        <is>
          <t xml:space="preserve">+2</t>
        </is>
      </c>
      <c r="S60" s="26">
        <f>L60+M60/4+N60/4+3*(O60-2)</f>
      </c>
      <c r="T60" s="23" t="inlineStr">
        <is>
          <t xml:space="preserve">Identica alla prima copia.</t>
        </is>
      </c>
    </row>
    <row r="61" ht="30" customHeight="1">
      <c r="A61" s="17">
        <v>3</v>
      </c>
      <c r="B61" s="20" t="inlineStr">
        <is>
          <t xml:space="preserve">Custode del Ghiaccio</t>
        </is>
      </c>
      <c r="C61" s="14" t="inlineStr">
        <is>
          <t xml:space="preserve">Frost Land</t>
        </is>
      </c>
      <c r="D61" s="14" t="inlineStr">
        <is>
          <t xml:space="preserve">difensore</t>
        </is>
      </c>
      <c r="E61" s="14" t="inlineStr">
        <is>
          <t xml:space="preserve">difensore</t>
        </is>
      </c>
      <c r="F61" s="14" t="inlineStr">
        <is>
          <t xml:space="preserve">Colosso</t>
        </is>
      </c>
      <c r="G61" s="14" t="inlineStr">
        <is>
          <t xml:space="preserve">Colosso</t>
        </is>
      </c>
      <c r="H61" s="17">
        <v>20</v>
      </c>
      <c r="I61" s="17">
        <v>30</v>
      </c>
      <c r="J61" s="17">
        <v>44</v>
      </c>
      <c r="K61" s="17">
        <v>2</v>
      </c>
      <c r="L61" s="34">
        <v>14</v>
      </c>
      <c r="M61" s="34">
        <v>26</v>
      </c>
      <c r="N61" s="34">
        <v>43</v>
      </c>
      <c r="O61" s="34">
        <v>2</v>
      </c>
      <c r="P61" s="37" t="inlineStr">
        <is>
          <t xml:space="preserve">-6</t>
        </is>
      </c>
      <c r="Q61" s="37" t="inlineStr">
        <is>
          <t xml:space="preserve">-4</t>
        </is>
      </c>
      <c r="R61" s="37" t="inlineStr">
        <is>
          <t xml:space="preserve">-1</t>
        </is>
      </c>
      <c r="S61" s="26">
        <f>L61+M61/4+N61/4+3*(O61-2)</f>
      </c>
      <c r="T61" s="23" t="inlineStr">
        <is>
          <t xml:space="preserve">Profilo difensore. Parata 30-&gt;26: esattamente al tetto, quindi bucabile solo dall'aggressore di punta.</t>
        </is>
      </c>
    </row>
    <row r="62" ht="30" customHeight="1">
      <c r="A62" s="17">
        <v>3</v>
      </c>
      <c r="B62" s="20" t="inlineStr">
        <is>
          <t xml:space="preserve">Figlio del Gelo</t>
        </is>
      </c>
      <c r="C62" s="14" t="inlineStr">
        <is>
          <t xml:space="preserve">Frost Land</t>
        </is>
      </c>
      <c r="D62" s="14" t="inlineStr">
        <is>
          <t xml:space="preserve">tank</t>
        </is>
      </c>
      <c r="E62" s="14" t="inlineStr">
        <is>
          <t xml:space="preserve">tank</t>
        </is>
      </c>
      <c r="F62" s="14" t="inlineStr">
        <is>
          <t xml:space="preserve">Colosso</t>
        </is>
      </c>
      <c r="G62" s="14" t="inlineStr">
        <is>
          <t xml:space="preserve">Colosso</t>
        </is>
      </c>
      <c r="H62" s="17">
        <v>20</v>
      </c>
      <c r="I62" s="17">
        <v>30</v>
      </c>
      <c r="J62" s="17">
        <v>45</v>
      </c>
      <c r="K62" s="17">
        <v>2</v>
      </c>
      <c r="L62" s="34">
        <v>13</v>
      </c>
      <c r="M62" s="34">
        <v>25</v>
      </c>
      <c r="N62" s="34">
        <v>80</v>
      </c>
      <c r="O62" s="34">
        <v>1</v>
      </c>
      <c r="P62" s="37" t="inlineStr">
        <is>
          <t xml:space="preserve">-7</t>
        </is>
      </c>
      <c r="Q62" s="37" t="inlineStr">
        <is>
          <t xml:space="preserve">-5</t>
        </is>
      </c>
      <c r="R62" s="36" t="inlineStr">
        <is>
          <t xml:space="preserve">+35</t>
        </is>
      </c>
      <c r="S62" s="26">
        <f>L62+M62/4+N62/4+3*(O62-2)</f>
      </c>
      <c r="T62" s="23" t="inlineStr">
        <is>
          <t xml:space="preserve">UN SOLO ATTACCO + Vita 45-&gt;80: diventa un muro vero invece di un aggressore mascherato.</t>
        </is>
      </c>
    </row>
    <row r="63" ht="30" customHeight="1">
      <c r="A63" s="17">
        <v>3</v>
      </c>
      <c r="B63" s="20" t="inlineStr">
        <is>
          <t xml:space="preserve">Potere Divino</t>
        </is>
      </c>
      <c r="C63" s="14" t="inlineStr">
        <is>
          <t xml:space="preserve">Marbion</t>
        </is>
      </c>
      <c r="D63" s="14" t="inlineStr">
        <is>
          <t xml:space="preserve">tank</t>
        </is>
      </c>
      <c r="E63" s="14" t="inlineStr">
        <is>
          <t xml:space="preserve">tank</t>
        </is>
      </c>
      <c r="F63" s="14" t="inlineStr">
        <is>
          <t xml:space="preserve">Colosso</t>
        </is>
      </c>
      <c r="G63" s="14" t="inlineStr">
        <is>
          <t xml:space="preserve">Colosso</t>
        </is>
      </c>
      <c r="H63" s="17">
        <v>24</v>
      </c>
      <c r="I63" s="17">
        <v>30</v>
      </c>
      <c r="J63" s="17">
        <v>45</v>
      </c>
      <c r="K63" s="17">
        <v>2</v>
      </c>
      <c r="L63" s="34">
        <v>12</v>
      </c>
      <c r="M63" s="34">
        <v>26</v>
      </c>
      <c r="N63" s="34">
        <v>82</v>
      </c>
      <c r="O63" s="34">
        <v>1</v>
      </c>
      <c r="P63" s="37" t="inlineStr">
        <is>
          <t xml:space="preserve">-12</t>
        </is>
      </c>
      <c r="Q63" s="37" t="inlineStr">
        <is>
          <t xml:space="preserve">-4</t>
        </is>
      </c>
      <c r="R63" s="36" t="inlineStr">
        <is>
          <t xml:space="preserve">+37</t>
        </is>
      </c>
      <c r="S63" s="26">
        <f>L63+M63/4+N63/4+3*(O63-2)</f>
      </c>
      <c r="T63" s="23" t="inlineStr">
        <is>
          <t xml:space="preserve">Il muro di riferimento del gioco: Parata 26, Vita 82, 1 attacco. Resiste x4,0 di un aggressore e cade in 5,8 turni.</t>
        </is>
      </c>
    </row>
    <row r="64" ht="30" customHeight="1">
      <c r="A64" s="17">
        <v>3</v>
      </c>
      <c r="B64" s="20" t="inlineStr">
        <is>
          <t xml:space="preserve">Potere Divino (2a copia)</t>
        </is>
      </c>
      <c r="C64" s="14" t="inlineStr">
        <is>
          <t xml:space="preserve">Marbion</t>
        </is>
      </c>
      <c r="D64" s="14" t="inlineStr">
        <is>
          <t xml:space="preserve">tank</t>
        </is>
      </c>
      <c r="E64" s="14" t="inlineStr">
        <is>
          <t xml:space="preserve">tank</t>
        </is>
      </c>
      <c r="F64" s="14" t="inlineStr">
        <is>
          <t xml:space="preserve">Colosso</t>
        </is>
      </c>
      <c r="G64" s="14" t="inlineStr">
        <is>
          <t xml:space="preserve">Colosso</t>
        </is>
      </c>
      <c r="H64" s="17">
        <v>24</v>
      </c>
      <c r="I64" s="17">
        <v>30</v>
      </c>
      <c r="J64" s="17">
        <v>45</v>
      </c>
      <c r="K64" s="17">
        <v>2</v>
      </c>
      <c r="L64" s="34">
        <v>12</v>
      </c>
      <c r="M64" s="34">
        <v>26</v>
      </c>
      <c r="N64" s="34">
        <v>82</v>
      </c>
      <c r="O64" s="34">
        <v>1</v>
      </c>
      <c r="P64" s="37" t="inlineStr">
        <is>
          <t xml:space="preserve">-12</t>
        </is>
      </c>
      <c r="Q64" s="37" t="inlineStr">
        <is>
          <t xml:space="preserve">-4</t>
        </is>
      </c>
      <c r="R64" s="36" t="inlineStr">
        <is>
          <t xml:space="preserve">+37</t>
        </is>
      </c>
      <c r="S64" s="26">
        <f>L64+M64/4+N64/4+3*(O64-2)</f>
      </c>
      <c r="T64" s="23" t="inlineStr">
        <is>
          <t xml:space="preserve">Identica alla prima copia.</t>
        </is>
      </c>
    </row>
    <row r="66" ht="30" customHeight="1">
      <c r="B66" s="10" t="inlineStr">
        <is>
          <t xml:space="preserve">Le colonne ATT / PAR / VITA / N in grassetto sono quelle da riportare negli Excel dei mazzi. Le celle verdi in «Ruolo nuovo» e «Archetipo nuovo» segnalano un cambio di classificazione, non solo di numeri.</t>
        </is>
      </c>
    </row>
  </sheetData>
  <mergeCells count="1">
    <mergeCell ref="B66:T66"/>
  </mergeCells>
</worksheet>
</file>

<file path=xl/worksheets/sheet5.xml><?xml version="1.0" encoding="utf-8"?>
<worksheet xmlns="http://schemas.openxmlformats.org/spreadsheetml/2006/main">
  <sheetViews>
    <sheetView workbookViewId="0"/>
  </sheetViews>
  <cols>
    <col min="1" max="1" width="3" customWidth="1"/>
    <col min="2" max="2" width="44" customWidth="1"/>
    <col min="3" max="3" width="16" customWidth="1"/>
    <col min="4" max="4" width="10" customWidth="1"/>
    <col min="5" max="5" width="10" customWidth="1"/>
    <col min="6" max="6" width="10" customWidth="1"/>
    <col min="7" max="7" width="22" customWidth="1"/>
  </cols>
  <sheetData>
    <row r="1" ht="26" customHeight="1">
      <c r="B1" s="1" t="inlineStr">
        <is>
          <t xml:space="preserve">CONTROLLI AUTOMATICI</t>
        </is>
      </c>
    </row>
    <row r="2" ht="30" customHeight="1">
      <c r="B2" s="10" t="inlineStr">
        <is>
          <t xml:space="preserve">Tutte le formule leggono dal foglio Pedine. Cambia un numero là e questi valori si aggiornano da soli: se un esito diventa diverso da OK, hai rotto un criterio.</t>
        </is>
      </c>
    </row>
    <row r="4" ht="22" customHeight="1">
      <c r="B4" s="3" t="inlineStr">
        <is>
          <t xml:space="preserve">CONTROLLO</t>
        </is>
      </c>
      <c r="C4" s="3" t="inlineStr">
        <is>
          <t xml:space="preserve">SOGLIA</t>
        </is>
      </c>
      <c r="D4" s="3" t="inlineStr">
        <is>
          <t xml:space="preserve">Liv 1</t>
        </is>
      </c>
      <c r="E4" s="3" t="inlineStr">
        <is>
          <t xml:space="preserve">Liv 2</t>
        </is>
      </c>
      <c r="F4" s="3" t="inlineStr">
        <is>
          <t xml:space="preserve">Liv 3</t>
        </is>
      </c>
      <c r="G4" s="3" t="inlineStr">
        <is>
          <t xml:space="preserve">ESITO</t>
        </is>
      </c>
    </row>
    <row r="5" ht="26" customHeight="1">
      <c r="B5" s="5" t="inlineStr">
        <is>
          <t xml:space="preserve">C1 · Budget medio del livello</t>
        </is>
      </c>
      <c r="C5" s="0" t="inlineStr">
        <is>
          <t xml:space="preserve">12 / 24 / 36</t>
        </is>
      </c>
      <c r="D5" s="35">
        <f>ROUND(SUMIF(Pedine!$A$2:$A$64,1,Pedine!$S$2:$S$64)/COUNTIF(Pedine!$A$2:$A$64,1),1)</f>
      </c>
      <c r="E5" s="35">
        <f>ROUND(SUMIF(Pedine!$A$2:$A$64,2,Pedine!$S$2:$S$64)/COUNTIF(Pedine!$A$2:$A$64,2),1)</f>
      </c>
      <c r="F5" s="35">
        <f>ROUND(SUMIF(Pedine!$A$2:$A$64,3,Pedine!$S$2:$S$64)/COUNTIF(Pedine!$A$2:$A$64,3),1)</f>
      </c>
      <c r="G5" s="34">
        <f>IF(AND(ABS(D5-12)&lt;=2,ABS(E5-24)&lt;=3,ABS(F5-36)&lt;=4),"OK","FUORI SOGLIA")</f>
      </c>
    </row>
    <row r="6" ht="26" customHeight="1">
      <c r="B6" s="5" t="inlineStr">
        <is>
          <t xml:space="preserve">C1 · Scarto fra budget massimo e minimo (%)</t>
        </is>
      </c>
      <c r="C6" s="0" t="inlineStr">
        <is>
          <t xml:space="preserve">&lt;= 25</t>
        </is>
      </c>
      <c r="D6" s="33">
        <f>ROUND(100*(SUMPRODUCT(MAX((Pedine!$A$2:$A$64=1)*Pedine!$S$2:$S$64))+SUMPRODUCT(MAX((Pedine!$A$2:$A$64=1)*(-Pedine!$S$2:$S$64))))/(SUMIF(Pedine!$A$2:$A$64,1,Pedine!$S$2:$S$64)/COUNTIF(Pedine!$A$2:$A$64,1)),0)</f>
      </c>
      <c r="E6" s="33">
        <f>ROUND(100*(SUMPRODUCT(MAX((Pedine!$A$2:$A$64=2)*Pedine!$S$2:$S$64))+SUMPRODUCT(MAX((Pedine!$A$2:$A$64=2)*(-Pedine!$S$2:$S$64))))/(SUMIF(Pedine!$A$2:$A$64,2,Pedine!$S$2:$S$64)/COUNTIF(Pedine!$A$2:$A$64,2)),0)</f>
      </c>
      <c r="F6" s="33">
        <f>ROUND(100*(SUMPRODUCT(MAX((Pedine!$A$2:$A$64=3)*Pedine!$S$2:$S$64))+SUMPRODUCT(MAX((Pedine!$A$2:$A$64=3)*(-Pedine!$S$2:$S$64))))/(SUMIF(Pedine!$A$2:$A$64,3,Pedine!$S$2:$S$64)/COUNTIF(Pedine!$A$2:$A$64,3)),0)</f>
      </c>
      <c r="G6" s="34">
        <f>IF(MAX(D6:F6)&lt;=25,"OK","SCARTO ALTO")</f>
      </c>
    </row>
    <row r="7" ht="26" customHeight="1">
      <c r="B7" s="5" t="inlineStr">
        <is>
          <t xml:space="preserve">C2 · Attacco massimo dell aggressore</t>
        </is>
      </c>
      <c r="C7" s="0" t="inlineStr">
        <is>
          <t xml:space="preserve">informativo</t>
        </is>
      </c>
      <c r="D7" s="33">
        <f>SUMPRODUCT(MAX((Pedine!$A$2:$A$64=1)*(Pedine!$E$2:$E$64="aggressore")*Pedine!$L$2:$L$64))</f>
      </c>
      <c r="E7" s="33">
        <f>SUMPRODUCT(MAX((Pedine!$A$2:$A$64=2)*(Pedine!$E$2:$E$64="aggressore")*Pedine!$L$2:$L$64))</f>
      </c>
      <c r="F7" s="33">
        <f>SUMPRODUCT(MAX((Pedine!$A$2:$A$64=3)*(Pedine!$E$2:$E$64="aggressore")*Pedine!$L$2:$L$64))</f>
      </c>
      <c r="G7" s="34">
        <f>"—"</f>
      </c>
    </row>
    <row r="8" ht="26" customHeight="1">
      <c r="B8" s="5" t="inlineStr">
        <is>
          <t xml:space="preserve">C2 · Parata massima del livello</t>
        </is>
      </c>
      <c r="C8" s="0" t="inlineStr">
        <is>
          <t xml:space="preserve">informativo</t>
        </is>
      </c>
      <c r="D8" s="33">
        <f>SUMPRODUCT(MAX((Pedine!$A$2:$A$64=1)*Pedine!$M$2:$M$64))</f>
      </c>
      <c r="E8" s="33">
        <f>SUMPRODUCT(MAX((Pedine!$A$2:$A$64=2)*Pedine!$M$2:$M$64))</f>
      </c>
      <c r="F8" s="33">
        <f>SUMPRODUCT(MAX((Pedine!$A$2:$A$64=3)*Pedine!$M$2:$M$64))</f>
      </c>
      <c r="G8" s="34">
        <f>"—"</f>
      </c>
    </row>
    <row r="9" ht="26" customHeight="1">
      <c r="B9" s="5" t="inlineStr">
        <is>
          <t xml:space="preserve">C2 · MARGINE DI PENETRAZIONE</t>
        </is>
      </c>
      <c r="C9" s="0" t="inlineStr">
        <is>
          <t xml:space="preserve">&gt;= +4</t>
        </is>
      </c>
      <c r="D9" s="33">
        <f>SUMPRODUCT(MAX((Pedine!$A$2:$A$64=1)*(Pedine!$E$2:$E$64="aggressore")*Pedine!$L$2:$L$64))-SUMPRODUCT(MAX((Pedine!$A$2:$A$64=1)*Pedine!$M$2:$M$64))</f>
      </c>
      <c r="E9" s="33">
        <f>SUMPRODUCT(MAX((Pedine!$A$2:$A$64=2)*(Pedine!$E$2:$E$64="aggressore")*Pedine!$L$2:$L$64))-SUMPRODUCT(MAX((Pedine!$A$2:$A$64=2)*Pedine!$M$2:$M$64))</f>
      </c>
      <c r="F9" s="33">
        <f>SUMPRODUCT(MAX((Pedine!$A$2:$A$64=3)*(Pedine!$E$2:$E$64="aggressore")*Pedine!$L$2:$L$64))-SUMPRODUCT(MAX((Pedine!$A$2:$A$64=3)*Pedine!$M$2:$M$64))</f>
      </c>
      <c r="G9" s="34">
        <f>IF(MIN(D9:F9)&gt;=4,"OK","ROTTO")</f>
      </c>
    </row>
    <row r="10" ht="26" customHeight="1">
      <c r="B10" s="5" t="inlineStr">
        <is>
          <t xml:space="preserve">C3 · Tank che hanno 1 solo attacco</t>
        </is>
      </c>
      <c r="C10" s="0" t="inlineStr">
        <is>
          <t xml:space="preserve">tutti</t>
        </is>
      </c>
      <c r="D10" s="33">
        <f>SUMPRODUCT((Pedine!$A$2:$A$64=1)*(Pedine!$E$2:$E$64="tank")*(Pedine!$O$2:$O$64=1))</f>
      </c>
      <c r="E10" s="33">
        <f>SUMPRODUCT((Pedine!$A$2:$A$64=2)*(Pedine!$E$2:$E$64="tank")*(Pedine!$O$2:$O$64=1))</f>
      </c>
      <c r="F10" s="33">
        <f>SUMPRODUCT((Pedine!$A$2:$A$64=3)*(Pedine!$E$2:$E$64="tank")*(Pedine!$O$2:$O$64=1))</f>
      </c>
      <c r="G10" s="34">
        <f>IF(SUM(D10:F10)=SUMPRODUCT((Pedine!$E$2:$E$64="tank")*1),"OK","CONTROLLA")</f>
      </c>
    </row>
    <row r="11" ht="26" customHeight="1">
      <c r="B11" s="5" t="inlineStr">
        <is>
          <t xml:space="preserve">C3 · Evasivi che hanno 3 attacchi</t>
        </is>
      </c>
      <c r="C11" s="0" t="inlineStr">
        <is>
          <t xml:space="preserve">tutti</t>
        </is>
      </c>
      <c r="D11" s="33">
        <f>SUMPRODUCT((Pedine!$A$2:$A$64=1)*(Pedine!$E$2:$E$64="evasivo")*(Pedine!$O$2:$O$64=3))</f>
      </c>
      <c r="E11" s="33">
        <f>SUMPRODUCT((Pedine!$A$2:$A$64=2)*(Pedine!$E$2:$E$64="evasivo")*(Pedine!$O$2:$O$64=3))</f>
      </c>
      <c r="F11" s="33">
        <f>SUMPRODUCT((Pedine!$A$2:$A$64=3)*(Pedine!$E$2:$E$64="evasivo")*(Pedine!$O$2:$O$64=3))</f>
      </c>
      <c r="G11" s="34">
        <f>IF(SUM(D11:F11)=SUMPRODUCT((Pedine!$E$2:$E$64="evasivo")*1),"OK","CONTROLLA")</f>
      </c>
    </row>
    <row r="12" ht="26" customHeight="1">
      <c r="B12" s="5" t="inlineStr">
        <is>
          <t xml:space="preserve">C5 · Carte con un Attacco ripetuto piu di 2 volte</t>
        </is>
      </c>
      <c r="C12" s="0" t="inlineStr">
        <is>
          <t xml:space="preserve">0 ai livelli 2-3</t>
        </is>
      </c>
      <c r="D12" s="33">
        <f>SUMPRODUCT((Pedine!$A$2:$A$64=1)*(COUNTIFS(Pedine!$A$2:$A$64,1,Pedine!$L$2:$L$64,Pedine!$L$2:$L$64)&gt;2))</f>
      </c>
      <c r="E12" s="33">
        <f>SUMPRODUCT((Pedine!$A$2:$A$64=2)*(COUNTIFS(Pedine!$A$2:$A$64,2,Pedine!$L$2:$L$64,Pedine!$L$2:$L$64)&gt;2))</f>
      </c>
      <c r="F12" s="33">
        <f>SUMPRODUCT((Pedine!$A$2:$A$64=3)*(COUNTIFS(Pedine!$A$2:$A$64,3,Pedine!$L$2:$L$64,Pedine!$L$2:$L$64)&gt;2))</f>
      </c>
      <c r="G12" s="34">
        <f>IF(SUM(E12:F12)=0,"OK ai livelli 2 e 3","CONTROLLA")</f>
      </c>
    </row>
    <row r="13" ht="26" customHeight="1">
      <c r="B13" s="5" t="inlineStr">
        <is>
          <t xml:space="preserve">C6 · Quota dell archetipo piu diffuso (%)</t>
        </is>
      </c>
      <c r="C13" s="0" t="inlineStr">
        <is>
          <t xml:space="preserve">&lt;= 45</t>
        </is>
      </c>
      <c r="D13" s="33">
        <f>ROUND(100*MAX(COUNTIFS(Pedine!$A$2:$A$64,1,Pedine!$G$2:$G$64,"Viandante"),COUNTIFS(Pedine!$A$2:$A$64,1,Pedine!$G$2:$G$64,"Assalitore"),COUNTIFS(Pedine!$A$2:$A$64,1,Pedine!$G$2:$G$64,"Effimeri"),COUNTIFS(Pedine!$A$2:$A$64,1,Pedine!$G$2:$G$64,"Colosso"),COUNTIFS(Pedine!$A$2:$A$64,1,Pedine!$G$2:$G$64,"Tessitore"))/COUNTIF(Pedine!$A$2:$A$64,1),0)</f>
      </c>
      <c r="E13" s="33">
        <f>ROUND(100*MAX(COUNTIFS(Pedine!$A$2:$A$64,2,Pedine!$G$2:$G$64,"Viandante"),COUNTIFS(Pedine!$A$2:$A$64,2,Pedine!$G$2:$G$64,"Assalitore"),COUNTIFS(Pedine!$A$2:$A$64,2,Pedine!$G$2:$G$64,"Effimeri"),COUNTIFS(Pedine!$A$2:$A$64,2,Pedine!$G$2:$G$64,"Colosso"),COUNTIFS(Pedine!$A$2:$A$64,2,Pedine!$G$2:$G$64,"Tessitore"))/COUNTIF(Pedine!$A$2:$A$64,2),0)</f>
      </c>
      <c r="F13" s="33">
        <f>ROUND(100*MAX(COUNTIFS(Pedine!$A$2:$A$64,3,Pedine!$G$2:$G$64,"Viandante"),COUNTIFS(Pedine!$A$2:$A$64,3,Pedine!$G$2:$G$64,"Assalitore"),COUNTIFS(Pedine!$A$2:$A$64,3,Pedine!$G$2:$G$64,"Effimeri"),COUNTIFS(Pedine!$A$2:$A$64,3,Pedine!$G$2:$G$64,"Colosso"),COUNTIFS(Pedine!$A$2:$A$64,3,Pedine!$G$2:$G$64,"Tessitore"))/COUNTIF(Pedine!$A$2:$A$64,3),0)</f>
      </c>
      <c r="G13" s="34">
        <f>IF(MAX(D13:F13)&lt;=45,"OK","CONCENTRATO")</f>
      </c>
    </row>
    <row r="14" ht="26" customHeight="1">
      <c r="B14" s="5" t="inlineStr">
        <is>
          <t xml:space="preserve">C6 · Archetipi diversi presenti nel livello</t>
        </is>
      </c>
      <c r="C14" s="0" t="inlineStr">
        <is>
          <t xml:space="preserve">5 su 5</t>
        </is>
      </c>
      <c r="D14" s="33">
        <f>(COUNTIFS(Pedine!$A$2:$A$64,1,Pedine!$G$2:$G$64,"Viandante")&gt;0)+(COUNTIFS(Pedine!$A$2:$A$64,1,Pedine!$G$2:$G$64,"Assalitore")&gt;0)+(COUNTIFS(Pedine!$A$2:$A$64,1,Pedine!$G$2:$G$64,"Effimeri")&gt;0)+(COUNTIFS(Pedine!$A$2:$A$64,1,Pedine!$G$2:$G$64,"Colosso")&gt;0)+(COUNTIFS(Pedine!$A$2:$A$64,1,Pedine!$G$2:$G$64,"Tessitore")&gt;0)</f>
      </c>
      <c r="E14" s="33">
        <f>(COUNTIFS(Pedine!$A$2:$A$64,2,Pedine!$G$2:$G$64,"Viandante")&gt;0)+(COUNTIFS(Pedine!$A$2:$A$64,2,Pedine!$G$2:$G$64,"Assalitore")&gt;0)+(COUNTIFS(Pedine!$A$2:$A$64,2,Pedine!$G$2:$G$64,"Effimeri")&gt;0)+(COUNTIFS(Pedine!$A$2:$A$64,2,Pedine!$G$2:$G$64,"Colosso")&gt;0)+(COUNTIFS(Pedine!$A$2:$A$64,2,Pedine!$G$2:$G$64,"Tessitore")&gt;0)</f>
      </c>
      <c r="F14" s="33">
        <f>(COUNTIFS(Pedine!$A$2:$A$64,3,Pedine!$G$2:$G$64,"Viandante")&gt;0)+(COUNTIFS(Pedine!$A$2:$A$64,3,Pedine!$G$2:$G$64,"Assalitore")&gt;0)+(COUNTIFS(Pedine!$A$2:$A$64,3,Pedine!$G$2:$G$64,"Effimeri")&gt;0)+(COUNTIFS(Pedine!$A$2:$A$64,3,Pedine!$G$2:$G$64,"Colosso")&gt;0)+(COUNTIFS(Pedine!$A$2:$A$64,3,Pedine!$G$2:$G$64,"Tessitore")&gt;0)</f>
      </c>
      <c r="G14" s="34">
        <f>IF(MIN(D14:F14)=5,"OK","MANCANO")</f>
      </c>
    </row>
    <row r="15" ht="26" customHeight="1">
      <c r="B15" s="5" t="inlineStr">
        <is>
          <t xml:space="preserve">Ruoli diversi presenti nel livello</t>
        </is>
      </c>
      <c r="C15" s="0" t="inlineStr">
        <is>
          <t xml:space="preserve">6 su 6</t>
        </is>
      </c>
      <c r="D15" s="33">
        <f>(COUNTIFS(Pedine!$A$2:$A$64,1,Pedine!$E$2:$E$64,"aggressore")&gt;0)+(COUNTIFS(Pedine!$A$2:$A$64,1,Pedine!$E$2:$E$64,"evasivo")&gt;0)+(COUNTIFS(Pedine!$A$2:$A$64,1,Pedine!$E$2:$E$64,"bilanciato")&gt;0)+(COUNTIFS(Pedine!$A$2:$A$64,1,Pedine!$E$2:$E$64,"supporto")&gt;0)+(COUNTIFS(Pedine!$A$2:$A$64,1,Pedine!$E$2:$E$64,"difensore")&gt;0)+(COUNTIFS(Pedine!$A$2:$A$64,1,Pedine!$E$2:$E$64,"tank")&gt;0)</f>
      </c>
      <c r="E15" s="33">
        <f>(COUNTIFS(Pedine!$A$2:$A$64,2,Pedine!$E$2:$E$64,"aggressore")&gt;0)+(COUNTIFS(Pedine!$A$2:$A$64,2,Pedine!$E$2:$E$64,"evasivo")&gt;0)+(COUNTIFS(Pedine!$A$2:$A$64,2,Pedine!$E$2:$E$64,"bilanciato")&gt;0)+(COUNTIFS(Pedine!$A$2:$A$64,2,Pedine!$E$2:$E$64,"supporto")&gt;0)+(COUNTIFS(Pedine!$A$2:$A$64,2,Pedine!$E$2:$E$64,"difensore")&gt;0)+(COUNTIFS(Pedine!$A$2:$A$64,2,Pedine!$E$2:$E$64,"tank")&gt;0)</f>
      </c>
      <c r="F15" s="33">
        <f>(COUNTIFS(Pedine!$A$2:$A$64,3,Pedine!$E$2:$E$64,"aggressore")&gt;0)+(COUNTIFS(Pedine!$A$2:$A$64,3,Pedine!$E$2:$E$64,"evasivo")&gt;0)+(COUNTIFS(Pedine!$A$2:$A$64,3,Pedine!$E$2:$E$64,"bilanciato")&gt;0)+(COUNTIFS(Pedine!$A$2:$A$64,3,Pedine!$E$2:$E$64,"supporto")&gt;0)+(COUNTIFS(Pedine!$A$2:$A$64,3,Pedine!$E$2:$E$64,"difensore")&gt;0)+(COUNTIFS(Pedine!$A$2:$A$64,3,Pedine!$E$2:$E$64,"tank")&gt;0)</f>
      </c>
      <c r="G15" s="34">
        <f>IF(MIN(D15:F15)=6,"OK","manca un ruolo")</f>
      </c>
    </row>
    <row r="17" ht="32" customHeight="1">
      <c r="B17" s="11" t="inlineStr">
        <is>
          <t xml:space="preserve">Nota su C5 al Livello 1: 36 carte in una banda di Attacco da 3 a 12 non possono avere valori tutti distanziati. È un limite strutturale, non un errore di compilazione — vedi la nota sul pareggio mortale nel foglio Modello.</t>
        </is>
      </c>
    </row>
    <row r="19">
      <c r="B19" s="2" t="inlineStr">
        <is>
          <t xml:space="preserve">CONTEGGIO RUOLI PER LIVELLO</t>
        </is>
      </c>
    </row>
    <row r="20">
      <c r="B20" s="3" t="inlineStr">
        <is>
          <t xml:space="preserve">Ruolo</t>
        </is>
      </c>
      <c r="C20" s="3" t="inlineStr">
        <is>
          <t xml:space="preserve"/>
        </is>
      </c>
      <c r="D20" s="3" t="inlineStr">
        <is>
          <t xml:space="preserve">Liv 1</t>
        </is>
      </c>
      <c r="E20" s="3" t="inlineStr">
        <is>
          <t xml:space="preserve">Liv 2</t>
        </is>
      </c>
      <c r="F20" s="3" t="inlineStr">
        <is>
          <t xml:space="preserve">Liv 3</t>
        </is>
      </c>
      <c r="G20" s="3" t="inlineStr">
        <is>
          <t xml:space="preserve"/>
        </is>
      </c>
    </row>
    <row r="21">
      <c r="B21" s="0" t="inlineStr">
        <is>
          <t xml:space="preserve">aggressore</t>
        </is>
      </c>
      <c r="D21" s="33">
        <f>COUNTIFS(Pedine!$A$2:$A$64,1,Pedine!$E$2:$E$64,"aggressore")</f>
      </c>
      <c r="E21" s="33">
        <f>COUNTIFS(Pedine!$A$2:$A$64,2,Pedine!$E$2:$E$64,"aggressore")</f>
      </c>
      <c r="F21" s="33">
        <f>COUNTIFS(Pedine!$A$2:$A$64,3,Pedine!$E$2:$E$64,"aggressore")</f>
      </c>
    </row>
    <row r="22">
      <c r="B22" s="0" t="inlineStr">
        <is>
          <t xml:space="preserve">evasivo</t>
        </is>
      </c>
      <c r="D22" s="33">
        <f>COUNTIFS(Pedine!$A$2:$A$64,1,Pedine!$E$2:$E$64,"evasivo")</f>
      </c>
      <c r="E22" s="33">
        <f>COUNTIFS(Pedine!$A$2:$A$64,2,Pedine!$E$2:$E$64,"evasivo")</f>
      </c>
      <c r="F22" s="33">
        <f>COUNTIFS(Pedine!$A$2:$A$64,3,Pedine!$E$2:$E$64,"evasivo")</f>
      </c>
    </row>
    <row r="23">
      <c r="B23" s="0" t="inlineStr">
        <is>
          <t xml:space="preserve">bilanciato</t>
        </is>
      </c>
      <c r="D23" s="33">
        <f>COUNTIFS(Pedine!$A$2:$A$64,1,Pedine!$E$2:$E$64,"bilanciato")</f>
      </c>
      <c r="E23" s="33">
        <f>COUNTIFS(Pedine!$A$2:$A$64,2,Pedine!$E$2:$E$64,"bilanciato")</f>
      </c>
      <c r="F23" s="33">
        <f>COUNTIFS(Pedine!$A$2:$A$64,3,Pedine!$E$2:$E$64,"bilanciato")</f>
      </c>
    </row>
    <row r="24">
      <c r="B24" s="0" t="inlineStr">
        <is>
          <t xml:space="preserve">supporto</t>
        </is>
      </c>
      <c r="D24" s="33">
        <f>COUNTIFS(Pedine!$A$2:$A$64,1,Pedine!$E$2:$E$64,"supporto")</f>
      </c>
      <c r="E24" s="33">
        <f>COUNTIFS(Pedine!$A$2:$A$64,2,Pedine!$E$2:$E$64,"supporto")</f>
      </c>
      <c r="F24" s="33">
        <f>COUNTIFS(Pedine!$A$2:$A$64,3,Pedine!$E$2:$E$64,"supporto")</f>
      </c>
    </row>
    <row r="25">
      <c r="B25" s="0" t="inlineStr">
        <is>
          <t xml:space="preserve">difensore</t>
        </is>
      </c>
      <c r="D25" s="33">
        <f>COUNTIFS(Pedine!$A$2:$A$64,1,Pedine!$E$2:$E$64,"difensore")</f>
      </c>
      <c r="E25" s="33">
        <f>COUNTIFS(Pedine!$A$2:$A$64,2,Pedine!$E$2:$E$64,"difensore")</f>
      </c>
      <c r="F25" s="33">
        <f>COUNTIFS(Pedine!$A$2:$A$64,3,Pedine!$E$2:$E$64,"difensore")</f>
      </c>
    </row>
    <row r="26">
      <c r="B26" s="0" t="inlineStr">
        <is>
          <t xml:space="preserve">tank</t>
        </is>
      </c>
      <c r="D26" s="33">
        <f>COUNTIFS(Pedine!$A$2:$A$64,1,Pedine!$E$2:$E$64,"tank")</f>
      </c>
      <c r="E26" s="33">
        <f>COUNTIFS(Pedine!$A$2:$A$64,2,Pedine!$E$2:$E$64,"tank")</f>
      </c>
      <c r="F26" s="33">
        <f>COUNTIFS(Pedine!$A$2:$A$64,3,Pedine!$E$2:$E$64,"tank")</f>
      </c>
    </row>
    <row r="28">
      <c r="B28" s="2" t="inlineStr">
        <is>
          <t xml:space="preserve">CONTEGGIO ARCHETIPI PER LIVELLO</t>
        </is>
      </c>
    </row>
    <row r="29">
      <c r="B29" s="3" t="inlineStr">
        <is>
          <t xml:space="preserve">Archetipo</t>
        </is>
      </c>
      <c r="C29" s="3" t="inlineStr">
        <is>
          <t xml:space="preserve">Facce del dado</t>
        </is>
      </c>
      <c r="D29" s="3" t="inlineStr">
        <is>
          <t xml:space="preserve">Liv 1</t>
        </is>
      </c>
      <c r="E29" s="3" t="inlineStr">
        <is>
          <t xml:space="preserve">Liv 2</t>
        </is>
      </c>
      <c r="F29" s="3" t="inlineStr">
        <is>
          <t xml:space="preserve">Liv 3</t>
        </is>
      </c>
      <c r="G29" s="3" t="inlineStr">
        <is>
          <t xml:space="preserve"/>
        </is>
      </c>
    </row>
    <row r="30">
      <c r="B30" s="0" t="inlineStr">
        <is>
          <t xml:space="preserve">Viandante</t>
        </is>
      </c>
      <c r="C30" s="0" t="inlineStr">
        <is>
          <t xml:space="preserve">S2 U2 C2 D2</t>
        </is>
      </c>
      <c r="D30" s="33">
        <f>COUNTIFS(Pedine!$A$2:$A$64,1,Pedine!$G$2:$G$64,"Viandante")</f>
      </c>
      <c r="E30" s="33">
        <f>COUNTIFS(Pedine!$A$2:$A$64,2,Pedine!$G$2:$G$64,"Viandante")</f>
      </c>
      <c r="F30" s="33">
        <f>COUNTIFS(Pedine!$A$2:$A$64,3,Pedine!$G$2:$G$64,"Viandante")</f>
      </c>
    </row>
    <row r="31">
      <c r="B31" s="0" t="inlineStr">
        <is>
          <t xml:space="preserve">Assalitore</t>
        </is>
      </c>
      <c r="C31" s="0" t="inlineStr">
        <is>
          <t xml:space="preserve">S4 U1 C2 D1</t>
        </is>
      </c>
      <c r="D31" s="33">
        <f>COUNTIFS(Pedine!$A$2:$A$64,1,Pedine!$G$2:$G$64,"Assalitore")</f>
      </c>
      <c r="E31" s="33">
        <f>COUNTIFS(Pedine!$A$2:$A$64,2,Pedine!$G$2:$G$64,"Assalitore")</f>
      </c>
      <c r="F31" s="33">
        <f>COUNTIFS(Pedine!$A$2:$A$64,3,Pedine!$G$2:$G$64,"Assalitore")</f>
      </c>
    </row>
    <row r="32">
      <c r="B32" s="0" t="inlineStr">
        <is>
          <t xml:space="preserve">Effimeri</t>
        </is>
      </c>
      <c r="C32" s="0" t="inlineStr">
        <is>
          <t xml:space="preserve">S2 U1 C2 D3</t>
        </is>
      </c>
      <c r="D32" s="33">
        <f>COUNTIFS(Pedine!$A$2:$A$64,1,Pedine!$G$2:$G$64,"Effimeri")</f>
      </c>
      <c r="E32" s="33">
        <f>COUNTIFS(Pedine!$A$2:$A$64,2,Pedine!$G$2:$G$64,"Effimeri")</f>
      </c>
      <c r="F32" s="33">
        <f>COUNTIFS(Pedine!$A$2:$A$64,3,Pedine!$G$2:$G$64,"Effimeri")</f>
      </c>
    </row>
    <row r="33">
      <c r="B33" s="0" t="inlineStr">
        <is>
          <t xml:space="preserve">Colosso</t>
        </is>
      </c>
      <c r="C33" s="0" t="inlineStr">
        <is>
          <t xml:space="preserve">S1 U3 C1 D3</t>
        </is>
      </c>
      <c r="D33" s="33">
        <f>COUNTIFS(Pedine!$A$2:$A$64,1,Pedine!$G$2:$G$64,"Colosso")</f>
      </c>
      <c r="E33" s="33">
        <f>COUNTIFS(Pedine!$A$2:$A$64,2,Pedine!$G$2:$G$64,"Colosso")</f>
      </c>
      <c r="F33" s="33">
        <f>COUNTIFS(Pedine!$A$2:$A$64,3,Pedine!$G$2:$G$64,"Colosso")</f>
      </c>
    </row>
    <row r="34">
      <c r="B34" s="0" t="inlineStr">
        <is>
          <t xml:space="preserve">Tessitore</t>
        </is>
      </c>
      <c r="C34" s="0" t="inlineStr">
        <is>
          <t xml:space="preserve">S3 U1 C2 D2</t>
        </is>
      </c>
      <c r="D34" s="33">
        <f>COUNTIFS(Pedine!$A$2:$A$64,1,Pedine!$G$2:$G$64,"Tessitore")</f>
      </c>
      <c r="E34" s="33">
        <f>COUNTIFS(Pedine!$A$2:$A$64,2,Pedine!$G$2:$G$64,"Tessitore")</f>
      </c>
      <c r="F34" s="33">
        <f>COUNTIFS(Pedine!$A$2:$A$64,3,Pedine!$G$2:$G$64,"Tessitore")</f>
      </c>
    </row>
  </sheetData>
  <mergeCells count="2">
    <mergeCell ref="B2:G2"/>
    <mergeCell ref="B17:G17"/>
  </mergeCells>
</worksheet>
</file>

<file path=xl/worksheets/sheet6.xml><?xml version="1.0" encoding="utf-8"?>
<worksheet xmlns="http://schemas.openxmlformats.org/spreadsheetml/2006/main">
  <sheetViews>
    <sheetView workbookViewId="0"/>
  </sheetViews>
  <cols>
    <col min="1" max="1" width="3" customWidth="1"/>
    <col min="2" max="2" width="34" customWidth="1"/>
    <col min="3" max="3" width="52" customWidth="1"/>
    <col min="4" max="4" width="42" customWidth="1"/>
    <col min="5" max="5" width="12" customWidth="1"/>
    <col min="6" max="6" width="60" customWidth="1"/>
  </cols>
  <sheetData>
    <row r="1" ht="26" customHeight="1">
      <c r="B1" s="1" t="inlineStr">
        <is>
          <t xml:space="preserve">LE OTTO STRADE VALUTATE</t>
        </is>
      </c>
    </row>
    <row r="2" ht="26" customHeight="1">
      <c r="B2" s="10" t="inlineStr">
        <is>
          <t xml:space="preserve">Ogni riga è stata simulata prima di essere scartata o adottata. I numeri nella terza colonna sono misurati, non stimati.</t>
        </is>
      </c>
    </row>
    <row r="4" ht="22" customHeight="1">
      <c r="B4" s="3" t="inlineStr">
        <is>
          <t xml:space="preserve">STRADA</t>
        </is>
      </c>
      <c r="C4" s="3" t="inlineStr">
        <is>
          <t xml:space="preserve">IN COSA CONSISTE</t>
        </is>
      </c>
      <c r="D4" s="3" t="inlineStr">
        <is>
          <t xml:space="preserve">COSA HA DATO</t>
        </is>
      </c>
      <c r="E4" s="3" t="inlineStr">
        <is>
          <t xml:space="preserve">ESITO</t>
        </is>
      </c>
      <c r="F4" s="3" t="inlineStr">
        <is>
          <t xml:space="preserve">PERCHÉ</t>
        </is>
      </c>
    </row>
    <row r="5" ht="58" customHeight="1">
      <c r="B5" s="32" t="inlineStr">
        <is>
          <t xml:space="preserve">Abbassare la Parata del Livello 3</t>
        </is>
      </c>
      <c r="C5" s="31" t="inlineStr">
        <is>
          <t xml:space="preserve">Portare la Parata L3 da 22-30 a 12-17 per riportare il rapporto Attacco/Parata a circa 1,5.</t>
        </is>
      </c>
      <c r="D5" s="31" t="inlineStr">
        <is>
          <t xml:space="preserve">TTK 4,00 → 2,20 · stalli 27% → 7% · contraccolpo azzerato</t>
        </is>
      </c>
      <c r="E5" s="28" t="inlineStr">
        <is>
          <t xml:space="preserve">SCARTATA</t>
        </is>
      </c>
      <c r="F5" s="31" t="inlineStr">
        <is>
          <t xml:space="preserve">Distrugge i muri, che hai chiesto esplicitamente di tenere. E i dati ti danno ragione: la Parata alta non è la causa, è il sintomo.</t>
        </is>
      </c>
    </row>
    <row r="6" ht="58" customHeight="1">
      <c r="B6" s="32" t="inlineStr">
        <is>
          <t xml:space="preserve">Curva A — rapporti fissi, crescita ×1,7</t>
        </is>
      </c>
      <c r="C6" s="31" t="inlineStr">
        <is>
          <t xml:space="preserve">Attacco ≈ 1,5 × Parata e Vita ≈ 1,4 × Attacco a ogni livello; tutto cresce di ×1,7 per livello.</t>
        </is>
      </c>
      <c r="D6" s="31" t="inlineStr">
        <is>
          <t xml:space="preserve">Ritmo OK (1-2 turni) · economia 3×L1 contro 1×L3 solo 8%</t>
        </is>
      </c>
      <c r="E6" s="28" t="inlineStr">
        <is>
          <t xml:space="preserve">SCARTATA</t>
        </is>
      </c>
      <c r="F6" s="31" t="inlineStr">
        <is>
          <t xml:space="preserve">Sistema il ritmo ma non l'economia: l'Attacco di Livello 1 resta troppo sotto la Parata di Livello 3, quindi i piccoli restano carburante.</t>
        </is>
      </c>
    </row>
    <row r="7" ht="58" customHeight="1">
      <c r="B7" s="32" t="inlineStr">
        <is>
          <t xml:space="preserve">Curva C — la Parata come scala continua</t>
        </is>
      </c>
      <c r="C7" s="31" t="inlineStr">
        <is>
          <t xml:space="preserve">Tenere la Parata sotto metà dell'Attacco, così il pavimento ⌈A/2⌉ quasi non scatta e ogni punto di Parata conta davvero.</t>
        </is>
      </c>
      <c r="D7" s="31" t="inlineStr">
        <is>
          <t xml:space="preserve">Tiri a vuoto 43% · Cuore 51% — i migliori numeri di texture di tutte le prove</t>
        </is>
      </c>
      <c r="E7" s="28" t="inlineStr">
        <is>
          <t xml:space="preserve">SCARTATA</t>
        </is>
      </c>
      <c r="F7" s="31" t="inlineStr">
        <is>
          <t xml:space="preserve">Per far funzionare la scala la Parata deve scendere così tanto che il muro sparisce. Contro il vincolo.</t>
        </is>
      </c>
    </row>
    <row r="8" ht="58" customHeight="1">
      <c r="B8" s="32" t="inlineStr">
        <is>
          <t xml:space="preserve">Curva D — la Parata non scala col livello</t>
        </is>
      </c>
      <c r="C8" s="31" t="inlineStr">
        <is>
          <t xml:space="preserve">Banda comune 2-14 a tutti i livelli: crescono solo Attacco e Vita.</t>
        </is>
      </c>
      <c r="D8" s="31" t="inlineStr">
        <is>
          <t xml:space="preserve">Economia 2×L1 contro 1×L2 = 50% · ma 3×L1 contro 1×L3 solo 32%</t>
        </is>
      </c>
      <c r="E8" s="28" t="inlineStr">
        <is>
          <t xml:space="preserve">SCARTATA</t>
        </is>
      </c>
      <c r="F8" s="31" t="inlineStr">
        <is>
          <t xml:space="preserve">I muri di Livello 3 diventano indistinguibili da quelli di Livello 1: il livello smette di significare qualcosa sul piano difensivo.</t>
        </is>
      </c>
    </row>
    <row r="9" ht="58" customHeight="1">
      <c r="B9" s="32" t="inlineStr">
        <is>
          <t xml:space="preserve">Dare 2 attacchi al muro</t>
        </is>
      </c>
      <c r="C9" s="31" t="inlineStr">
        <is>
          <t xml:space="preserve">Correggere il muro alzandogli gli attacchi invece dell'Attacco, per renderlo meno inerte.</t>
        </is>
      </c>
      <c r="D9" s="31" t="inlineStr">
        <is>
          <t xml:space="preserve">Il muro passa dall'11% al 78% di vittorie nei duelli</t>
        </is>
      </c>
      <c r="E9" s="28" t="inlineStr">
        <is>
          <t xml:space="preserve">SCARTATA</t>
        </is>
      </c>
      <c r="F9" s="31" t="inlineStr">
        <is>
          <t xml:space="preserve">Non corregge il muro: lo trasforma in un boss. È provando questo che ho ricavato il criterio C3.</t>
        </is>
      </c>
    </row>
    <row r="10" ht="58" customHeight="1">
      <c r="B10" s="32" t="inlineStr">
        <is>
          <t xml:space="preserve">Alzare il prezzo in tributi del Livello 3</t>
        </is>
      </c>
      <c r="C10" s="31" t="inlineStr">
        <is>
          <t xml:space="preserve">Portare il costo da 3 a 4-5 tributi per pareggiare la potenza reale misurata.</t>
        </is>
      </c>
      <c r="D10" s="31" t="inlineStr">
        <is>
          <t xml:space="preserve">Con 5 tributi l'economia arriva al 54%</t>
        </is>
      </c>
      <c r="E10" s="28" t="inlineStr">
        <is>
          <t xml:space="preserve">SCARTATA</t>
        </is>
      </c>
      <c r="F10" s="31" t="inlineStr">
        <is>
          <t xml:space="preserve">Funziona, ma cambia una regola del gioco fisico e rende il Livello 3 quasi ingiocabile (4-5 sacrifici). Ridurre il budget ottiene lo stesso risultato senza toccare le regole.</t>
        </is>
      </c>
    </row>
    <row r="11" ht="58" customHeight="1">
      <c r="B11" s="30" t="inlineStr">
        <is>
          <t xml:space="preserve">Colpo di striscio ⌈Attacco/4⌉</t>
        </is>
      </c>
      <c r="C11" s="29" t="inlineStr">
        <is>
          <t xml:space="preserve">Chi non supera la statistica del difensore porta comunque a casa ⌈Attacco/4⌉, e il contraccolpo sparisce.</t>
        </is>
      </c>
      <c r="D11" s="29" t="inlineStr">
        <is>
          <t xml:space="preserve">Tiri a vuoto 71% → 29% · Cuore 74% → 59%</t>
        </is>
      </c>
      <c r="E11" s="27" t="inlineStr">
        <is>
          <t xml:space="preserve">ADOTTATA</t>
        </is>
      </c>
      <c r="F11" s="29" t="inlineStr">
        <is>
          <t xml:space="preserve">È l'unica leva che tocca il motore, e tocca una funzione sola (danneggiaSimmetrico in combattimento.js). Senza di essa il modello si ferma a 3 cancelli su 5.</t>
        </is>
      </c>
    </row>
    <row r="12" ht="58" customHeight="1">
      <c r="B12" s="30" t="inlineStr">
        <is>
          <t xml:space="preserve">Riallocazione per ruolo + budget = prezzo</t>
        </is>
      </c>
      <c r="C12" s="29" t="inlineStr">
        <is>
          <t xml:space="preserve">I sei criteri di questo file: quote di ruolo del Livello 1 a tutti i livelli, tetto di Parata, budget 12/24/36, dado coerente col ruolo.</t>
        </is>
      </c>
      <c r="D12" s="29" t="inlineStr">
        <is>
          <t xml:space="preserve">Margine −4 → +4 · economia 1% → 51% · Ruota 100% → 74% di neutri</t>
        </is>
      </c>
      <c r="E12" s="27" t="inlineStr">
        <is>
          <t xml:space="preserve">ADOTTATA</t>
        </is>
      </c>
      <c r="F12" s="29" t="inlineStr">
        <is>
          <t xml:space="preserve">Non tocca una riga di codice: sono colonne degli Excel. Da sola porta il modello a 3 cancelli su 5.</t>
        </is>
      </c>
    </row>
    <row r="14" ht="46" customHeight="1">
      <c r="B14" s="11" t="inlineStr">
        <is>
          <t xml:space="preserve">RESTA APERTO — la Ruota degli Archetipi (il diritto di ripetizione) non è modellata in nessuna di queste simulazioni. È l'unica leva rimasta che può trasformare l'attuale ordine di dominanza fra i ruoli in una vera morra cinese: oggi, nel modello, il Difensore batte tutti e l'Aggressore perde quasi con tutti nell'uno-contro-uno, con una forbice fra il 23% e il 77%.</t>
        </is>
      </c>
    </row>
  </sheetData>
  <mergeCells count="2">
    <mergeCell ref="B2:F2"/>
    <mergeCell ref="B14:F14"/>
  </mergeCells>
</worksheet>
</file>